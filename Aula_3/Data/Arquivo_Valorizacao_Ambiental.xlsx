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dwmodelagemlt-my.sharepoint.com/personal/adelaide_alves_sdw_com_br/Documents/1-Material/DTS_AI/Applied Statistics/2025/12e13DTSR/Aula03eAula04/"/>
    </mc:Choice>
  </mc:AlternateContent>
  <xr:revisionPtr revIDLastSave="34" documentId="8_{CD1B1BC5-B490-4029-B491-C4ECB1B2AAFA}" xr6:coauthVersionLast="47" xr6:coauthVersionMax="47" xr10:uidLastSave="{3452C88C-DFF8-49DC-AA60-5AB8A9E2DC08}"/>
  <bookViews>
    <workbookView xWindow="-120" yWindow="-120" windowWidth="20730" windowHeight="11160" xr2:uid="{9E816D4A-1887-4E67-A0EB-84408335F87D}"/>
  </bookViews>
  <sheets>
    <sheet name="Arquivo_Valorizacao_Ambiental -" sheetId="1" r:id="rId1"/>
  </sheets>
  <calcPr calcId="0"/>
</workbook>
</file>

<file path=xl/calcChain.xml><?xml version="1.0" encoding="utf-8"?>
<calcChain xmlns="http://schemas.openxmlformats.org/spreadsheetml/2006/main">
  <c r="Q2" i="1" l="1"/>
  <c r="Q175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3" i="1"/>
  <c r="P17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2" i="1"/>
  <c r="M1" i="1"/>
  <c r="L1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M2" i="1"/>
  <c r="L2" i="1"/>
</calcChain>
</file>

<file path=xl/sharedStrings.xml><?xml version="1.0" encoding="utf-8"?>
<sst xmlns="http://schemas.openxmlformats.org/spreadsheetml/2006/main" count="12" uniqueCount="12">
  <si>
    <t>Ordem</t>
  </si>
  <si>
    <t>Valor</t>
  </si>
  <si>
    <t>Area</t>
  </si>
  <si>
    <t>IA</t>
  </si>
  <si>
    <t>Andar</t>
  </si>
  <si>
    <t>Suites</t>
  </si>
  <si>
    <t>Vista</t>
  </si>
  <si>
    <t>DistBM</t>
  </si>
  <si>
    <t>Semruido</t>
  </si>
  <si>
    <t>AV100m</t>
  </si>
  <si>
    <t>ÁREA</t>
  </si>
  <si>
    <t>LUXO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</si>
</sst>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165" fontId="0" fillId="0" borderId="0" xfId="1" applyNumberFormat="1" applyFont="1"/>
    <xf numFmtId="43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'Arquivo_Valorizacao_Ambiental -'!$M$1</c:f>
              <c:strCache>
                <c:ptCount val="1"/>
                <c:pt idx="0">
                  <c:v> Valor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'Arquivo_Valorizacao_Ambiental -'!$L$2:$L$173</c:f>
              <c:numCache>
                <c:formatCode>General</c:formatCode>
                <c:ptCount val="172"/>
                <c:pt idx="0">
                  <c:v>168</c:v>
                </c:pt>
                <c:pt idx="1">
                  <c:v>129</c:v>
                </c:pt>
                <c:pt idx="2">
                  <c:v>218</c:v>
                </c:pt>
                <c:pt idx="3">
                  <c:v>180</c:v>
                </c:pt>
                <c:pt idx="4">
                  <c:v>120</c:v>
                </c:pt>
                <c:pt idx="5">
                  <c:v>160</c:v>
                </c:pt>
                <c:pt idx="6">
                  <c:v>155</c:v>
                </c:pt>
                <c:pt idx="7">
                  <c:v>165</c:v>
                </c:pt>
                <c:pt idx="8">
                  <c:v>150</c:v>
                </c:pt>
                <c:pt idx="9">
                  <c:v>185</c:v>
                </c:pt>
                <c:pt idx="10">
                  <c:v>393</c:v>
                </c:pt>
                <c:pt idx="11">
                  <c:v>393</c:v>
                </c:pt>
                <c:pt idx="12">
                  <c:v>226</c:v>
                </c:pt>
                <c:pt idx="13">
                  <c:v>313</c:v>
                </c:pt>
                <c:pt idx="14">
                  <c:v>305</c:v>
                </c:pt>
                <c:pt idx="15">
                  <c:v>305</c:v>
                </c:pt>
                <c:pt idx="16">
                  <c:v>161</c:v>
                </c:pt>
                <c:pt idx="17">
                  <c:v>277</c:v>
                </c:pt>
                <c:pt idx="18">
                  <c:v>157</c:v>
                </c:pt>
                <c:pt idx="19">
                  <c:v>156</c:v>
                </c:pt>
                <c:pt idx="20">
                  <c:v>162</c:v>
                </c:pt>
                <c:pt idx="21">
                  <c:v>180</c:v>
                </c:pt>
                <c:pt idx="22">
                  <c:v>130</c:v>
                </c:pt>
                <c:pt idx="23">
                  <c:v>130</c:v>
                </c:pt>
                <c:pt idx="24">
                  <c:v>175</c:v>
                </c:pt>
                <c:pt idx="25">
                  <c:v>161</c:v>
                </c:pt>
                <c:pt idx="26">
                  <c:v>161</c:v>
                </c:pt>
                <c:pt idx="27">
                  <c:v>135</c:v>
                </c:pt>
                <c:pt idx="28">
                  <c:v>140</c:v>
                </c:pt>
                <c:pt idx="29">
                  <c:v>150</c:v>
                </c:pt>
                <c:pt idx="30">
                  <c:v>210</c:v>
                </c:pt>
                <c:pt idx="31">
                  <c:v>192</c:v>
                </c:pt>
                <c:pt idx="32">
                  <c:v>200</c:v>
                </c:pt>
                <c:pt idx="33">
                  <c:v>251</c:v>
                </c:pt>
                <c:pt idx="34">
                  <c:v>260</c:v>
                </c:pt>
                <c:pt idx="35">
                  <c:v>192</c:v>
                </c:pt>
                <c:pt idx="36">
                  <c:v>115</c:v>
                </c:pt>
                <c:pt idx="37">
                  <c:v>370</c:v>
                </c:pt>
                <c:pt idx="38">
                  <c:v>105</c:v>
                </c:pt>
                <c:pt idx="39">
                  <c:v>171</c:v>
                </c:pt>
                <c:pt idx="40">
                  <c:v>173</c:v>
                </c:pt>
                <c:pt idx="41">
                  <c:v>180</c:v>
                </c:pt>
                <c:pt idx="42">
                  <c:v>160</c:v>
                </c:pt>
                <c:pt idx="43">
                  <c:v>110</c:v>
                </c:pt>
                <c:pt idx="44">
                  <c:v>84</c:v>
                </c:pt>
                <c:pt idx="45">
                  <c:v>142</c:v>
                </c:pt>
                <c:pt idx="46">
                  <c:v>117</c:v>
                </c:pt>
                <c:pt idx="47">
                  <c:v>78</c:v>
                </c:pt>
                <c:pt idx="48">
                  <c:v>104</c:v>
                </c:pt>
                <c:pt idx="49">
                  <c:v>101</c:v>
                </c:pt>
                <c:pt idx="50">
                  <c:v>108</c:v>
                </c:pt>
                <c:pt idx="51">
                  <c:v>98</c:v>
                </c:pt>
                <c:pt idx="52">
                  <c:v>121</c:v>
                </c:pt>
                <c:pt idx="53">
                  <c:v>256</c:v>
                </c:pt>
                <c:pt idx="54">
                  <c:v>256</c:v>
                </c:pt>
                <c:pt idx="55">
                  <c:v>147</c:v>
                </c:pt>
                <c:pt idx="56">
                  <c:v>204</c:v>
                </c:pt>
                <c:pt idx="57">
                  <c:v>198</c:v>
                </c:pt>
                <c:pt idx="58">
                  <c:v>198</c:v>
                </c:pt>
                <c:pt idx="59">
                  <c:v>105</c:v>
                </c:pt>
                <c:pt idx="60">
                  <c:v>181</c:v>
                </c:pt>
                <c:pt idx="61">
                  <c:v>103</c:v>
                </c:pt>
                <c:pt idx="62">
                  <c:v>102</c:v>
                </c:pt>
                <c:pt idx="63">
                  <c:v>106</c:v>
                </c:pt>
                <c:pt idx="64">
                  <c:v>117</c:v>
                </c:pt>
                <c:pt idx="65">
                  <c:v>84</c:v>
                </c:pt>
                <c:pt idx="66">
                  <c:v>85</c:v>
                </c:pt>
                <c:pt idx="67">
                  <c:v>114</c:v>
                </c:pt>
                <c:pt idx="68">
                  <c:v>105</c:v>
                </c:pt>
                <c:pt idx="69">
                  <c:v>105</c:v>
                </c:pt>
                <c:pt idx="70">
                  <c:v>88</c:v>
                </c:pt>
                <c:pt idx="71">
                  <c:v>91</c:v>
                </c:pt>
                <c:pt idx="72">
                  <c:v>98</c:v>
                </c:pt>
                <c:pt idx="73">
                  <c:v>137</c:v>
                </c:pt>
                <c:pt idx="74">
                  <c:v>125</c:v>
                </c:pt>
                <c:pt idx="75">
                  <c:v>130</c:v>
                </c:pt>
                <c:pt idx="76">
                  <c:v>164</c:v>
                </c:pt>
                <c:pt idx="77">
                  <c:v>169</c:v>
                </c:pt>
                <c:pt idx="78">
                  <c:v>125</c:v>
                </c:pt>
                <c:pt idx="79">
                  <c:v>75</c:v>
                </c:pt>
                <c:pt idx="80">
                  <c:v>241</c:v>
                </c:pt>
                <c:pt idx="81">
                  <c:v>69</c:v>
                </c:pt>
                <c:pt idx="82">
                  <c:v>112</c:v>
                </c:pt>
                <c:pt idx="83">
                  <c:v>113</c:v>
                </c:pt>
                <c:pt idx="84">
                  <c:v>117</c:v>
                </c:pt>
                <c:pt idx="85">
                  <c:v>104</c:v>
                </c:pt>
                <c:pt idx="86">
                  <c:v>152</c:v>
                </c:pt>
                <c:pt idx="87">
                  <c:v>116</c:v>
                </c:pt>
                <c:pt idx="88">
                  <c:v>196</c:v>
                </c:pt>
                <c:pt idx="89">
                  <c:v>162</c:v>
                </c:pt>
                <c:pt idx="90">
                  <c:v>108</c:v>
                </c:pt>
                <c:pt idx="91">
                  <c:v>144</c:v>
                </c:pt>
                <c:pt idx="92">
                  <c:v>140</c:v>
                </c:pt>
                <c:pt idx="93">
                  <c:v>149</c:v>
                </c:pt>
                <c:pt idx="94">
                  <c:v>135</c:v>
                </c:pt>
                <c:pt idx="95">
                  <c:v>167</c:v>
                </c:pt>
                <c:pt idx="96">
                  <c:v>354</c:v>
                </c:pt>
                <c:pt idx="97">
                  <c:v>354</c:v>
                </c:pt>
                <c:pt idx="98">
                  <c:v>204</c:v>
                </c:pt>
                <c:pt idx="99">
                  <c:v>282</c:v>
                </c:pt>
                <c:pt idx="100">
                  <c:v>274</c:v>
                </c:pt>
                <c:pt idx="101">
                  <c:v>274</c:v>
                </c:pt>
                <c:pt idx="102">
                  <c:v>145</c:v>
                </c:pt>
                <c:pt idx="103">
                  <c:v>250</c:v>
                </c:pt>
                <c:pt idx="104">
                  <c:v>142</c:v>
                </c:pt>
                <c:pt idx="105">
                  <c:v>141</c:v>
                </c:pt>
                <c:pt idx="106">
                  <c:v>146</c:v>
                </c:pt>
                <c:pt idx="107">
                  <c:v>162</c:v>
                </c:pt>
                <c:pt idx="108">
                  <c:v>117</c:v>
                </c:pt>
                <c:pt idx="109">
                  <c:v>117</c:v>
                </c:pt>
                <c:pt idx="110">
                  <c:v>158</c:v>
                </c:pt>
                <c:pt idx="111">
                  <c:v>145</c:v>
                </c:pt>
                <c:pt idx="112">
                  <c:v>145</c:v>
                </c:pt>
                <c:pt idx="113">
                  <c:v>122</c:v>
                </c:pt>
                <c:pt idx="114">
                  <c:v>126</c:v>
                </c:pt>
                <c:pt idx="115">
                  <c:v>135</c:v>
                </c:pt>
                <c:pt idx="116">
                  <c:v>189</c:v>
                </c:pt>
                <c:pt idx="117">
                  <c:v>173</c:v>
                </c:pt>
                <c:pt idx="118">
                  <c:v>180</c:v>
                </c:pt>
                <c:pt idx="119">
                  <c:v>226</c:v>
                </c:pt>
                <c:pt idx="120">
                  <c:v>234</c:v>
                </c:pt>
                <c:pt idx="121">
                  <c:v>173</c:v>
                </c:pt>
                <c:pt idx="122">
                  <c:v>104</c:v>
                </c:pt>
                <c:pt idx="123">
                  <c:v>333</c:v>
                </c:pt>
                <c:pt idx="124">
                  <c:v>95</c:v>
                </c:pt>
                <c:pt idx="125">
                  <c:v>154</c:v>
                </c:pt>
                <c:pt idx="126">
                  <c:v>156</c:v>
                </c:pt>
                <c:pt idx="127">
                  <c:v>162</c:v>
                </c:pt>
                <c:pt idx="128">
                  <c:v>144</c:v>
                </c:pt>
                <c:pt idx="129">
                  <c:v>131</c:v>
                </c:pt>
                <c:pt idx="130">
                  <c:v>101</c:v>
                </c:pt>
                <c:pt idx="131">
                  <c:v>170</c:v>
                </c:pt>
                <c:pt idx="132">
                  <c:v>141</c:v>
                </c:pt>
                <c:pt idx="133">
                  <c:v>94</c:v>
                </c:pt>
                <c:pt idx="134">
                  <c:v>125</c:v>
                </c:pt>
                <c:pt idx="135">
                  <c:v>121</c:v>
                </c:pt>
                <c:pt idx="136">
                  <c:v>129</c:v>
                </c:pt>
                <c:pt idx="137">
                  <c:v>117</c:v>
                </c:pt>
                <c:pt idx="138">
                  <c:v>145</c:v>
                </c:pt>
                <c:pt idx="139">
                  <c:v>307</c:v>
                </c:pt>
                <c:pt idx="140">
                  <c:v>307</c:v>
                </c:pt>
                <c:pt idx="141">
                  <c:v>177</c:v>
                </c:pt>
                <c:pt idx="142">
                  <c:v>245</c:v>
                </c:pt>
                <c:pt idx="143">
                  <c:v>238</c:v>
                </c:pt>
                <c:pt idx="144">
                  <c:v>238</c:v>
                </c:pt>
                <c:pt idx="145">
                  <c:v>126</c:v>
                </c:pt>
                <c:pt idx="146">
                  <c:v>217</c:v>
                </c:pt>
                <c:pt idx="147">
                  <c:v>123</c:v>
                </c:pt>
                <c:pt idx="148">
                  <c:v>122</c:v>
                </c:pt>
                <c:pt idx="149">
                  <c:v>127</c:v>
                </c:pt>
                <c:pt idx="150">
                  <c:v>141</c:v>
                </c:pt>
                <c:pt idx="151">
                  <c:v>101</c:v>
                </c:pt>
                <c:pt idx="152">
                  <c:v>102</c:v>
                </c:pt>
                <c:pt idx="153">
                  <c:v>137</c:v>
                </c:pt>
                <c:pt idx="154">
                  <c:v>125</c:v>
                </c:pt>
                <c:pt idx="155">
                  <c:v>125</c:v>
                </c:pt>
                <c:pt idx="156">
                  <c:v>106</c:v>
                </c:pt>
                <c:pt idx="157">
                  <c:v>110</c:v>
                </c:pt>
                <c:pt idx="158">
                  <c:v>117</c:v>
                </c:pt>
                <c:pt idx="159">
                  <c:v>164</c:v>
                </c:pt>
                <c:pt idx="160">
                  <c:v>150</c:v>
                </c:pt>
                <c:pt idx="161">
                  <c:v>156</c:v>
                </c:pt>
                <c:pt idx="162">
                  <c:v>196</c:v>
                </c:pt>
                <c:pt idx="163">
                  <c:v>203</c:v>
                </c:pt>
                <c:pt idx="164">
                  <c:v>150</c:v>
                </c:pt>
                <c:pt idx="165">
                  <c:v>90</c:v>
                </c:pt>
                <c:pt idx="166">
                  <c:v>289</c:v>
                </c:pt>
                <c:pt idx="167">
                  <c:v>82</c:v>
                </c:pt>
                <c:pt idx="168">
                  <c:v>134</c:v>
                </c:pt>
                <c:pt idx="169">
                  <c:v>135</c:v>
                </c:pt>
                <c:pt idx="170">
                  <c:v>141</c:v>
                </c:pt>
                <c:pt idx="171">
                  <c:v>125</c:v>
                </c:pt>
              </c:numCache>
            </c:numRef>
          </c:xVal>
          <c:yVal>
            <c:numRef>
              <c:f>'Arquivo_Valorizacao_Ambiental -'!$M$2:$M$173</c:f>
              <c:numCache>
                <c:formatCode>_-* #,##0_-;\-* #,##0_-;_-* "-"??_-;_-@_-</c:formatCode>
                <c:ptCount val="172"/>
                <c:pt idx="0">
                  <c:v>160</c:v>
                </c:pt>
                <c:pt idx="1">
                  <c:v>67</c:v>
                </c:pt>
                <c:pt idx="2">
                  <c:v>190</c:v>
                </c:pt>
                <c:pt idx="3">
                  <c:v>110</c:v>
                </c:pt>
                <c:pt idx="4">
                  <c:v>70</c:v>
                </c:pt>
                <c:pt idx="5">
                  <c:v>75</c:v>
                </c:pt>
                <c:pt idx="6">
                  <c:v>95</c:v>
                </c:pt>
                <c:pt idx="7">
                  <c:v>135</c:v>
                </c:pt>
                <c:pt idx="8">
                  <c:v>110</c:v>
                </c:pt>
                <c:pt idx="9">
                  <c:v>115</c:v>
                </c:pt>
                <c:pt idx="10">
                  <c:v>325.66899999999998</c:v>
                </c:pt>
                <c:pt idx="11">
                  <c:v>362.4</c:v>
                </c:pt>
                <c:pt idx="12">
                  <c:v>163.798</c:v>
                </c:pt>
                <c:pt idx="13">
                  <c:v>261.25</c:v>
                </c:pt>
                <c:pt idx="14">
                  <c:v>276.87</c:v>
                </c:pt>
                <c:pt idx="15">
                  <c:v>284.62599999999998</c:v>
                </c:pt>
                <c:pt idx="16">
                  <c:v>95</c:v>
                </c:pt>
                <c:pt idx="17">
                  <c:v>200</c:v>
                </c:pt>
                <c:pt idx="18">
                  <c:v>120</c:v>
                </c:pt>
                <c:pt idx="19">
                  <c:v>130</c:v>
                </c:pt>
                <c:pt idx="20">
                  <c:v>145</c:v>
                </c:pt>
                <c:pt idx="21">
                  <c:v>85</c:v>
                </c:pt>
                <c:pt idx="22">
                  <c:v>104</c:v>
                </c:pt>
                <c:pt idx="23">
                  <c:v>85</c:v>
                </c:pt>
                <c:pt idx="24">
                  <c:v>150</c:v>
                </c:pt>
                <c:pt idx="25">
                  <c:v>110</c:v>
                </c:pt>
                <c:pt idx="26">
                  <c:v>120</c:v>
                </c:pt>
                <c:pt idx="27">
                  <c:v>88</c:v>
                </c:pt>
                <c:pt idx="28">
                  <c:v>115</c:v>
                </c:pt>
                <c:pt idx="29">
                  <c:v>105</c:v>
                </c:pt>
                <c:pt idx="30">
                  <c:v>195</c:v>
                </c:pt>
                <c:pt idx="31">
                  <c:v>180</c:v>
                </c:pt>
                <c:pt idx="32">
                  <c:v>135</c:v>
                </c:pt>
                <c:pt idx="33">
                  <c:v>185</c:v>
                </c:pt>
                <c:pt idx="34">
                  <c:v>190</c:v>
                </c:pt>
                <c:pt idx="35">
                  <c:v>95</c:v>
                </c:pt>
                <c:pt idx="36">
                  <c:v>80</c:v>
                </c:pt>
                <c:pt idx="37">
                  <c:v>240</c:v>
                </c:pt>
                <c:pt idx="38">
                  <c:v>50</c:v>
                </c:pt>
                <c:pt idx="39">
                  <c:v>90</c:v>
                </c:pt>
                <c:pt idx="40">
                  <c:v>110</c:v>
                </c:pt>
                <c:pt idx="41">
                  <c:v>124.97199999999999</c:v>
                </c:pt>
                <c:pt idx="42">
                  <c:v>90</c:v>
                </c:pt>
                <c:pt idx="43">
                  <c:v>128</c:v>
                </c:pt>
                <c:pt idx="44">
                  <c:v>53.6</c:v>
                </c:pt>
                <c:pt idx="45">
                  <c:v>152</c:v>
                </c:pt>
                <c:pt idx="46">
                  <c:v>88</c:v>
                </c:pt>
                <c:pt idx="47">
                  <c:v>56</c:v>
                </c:pt>
                <c:pt idx="48">
                  <c:v>60</c:v>
                </c:pt>
                <c:pt idx="49">
                  <c:v>76</c:v>
                </c:pt>
                <c:pt idx="50">
                  <c:v>108</c:v>
                </c:pt>
                <c:pt idx="51">
                  <c:v>88</c:v>
                </c:pt>
                <c:pt idx="52">
                  <c:v>92</c:v>
                </c:pt>
                <c:pt idx="53">
                  <c:v>260.536</c:v>
                </c:pt>
                <c:pt idx="54">
                  <c:v>289.92</c:v>
                </c:pt>
                <c:pt idx="55">
                  <c:v>131.03899999999999</c:v>
                </c:pt>
                <c:pt idx="56">
                  <c:v>209</c:v>
                </c:pt>
                <c:pt idx="57">
                  <c:v>221.49600000000001</c:v>
                </c:pt>
                <c:pt idx="58">
                  <c:v>227.70099999999999</c:v>
                </c:pt>
                <c:pt idx="59">
                  <c:v>76</c:v>
                </c:pt>
                <c:pt idx="60">
                  <c:v>160</c:v>
                </c:pt>
                <c:pt idx="61">
                  <c:v>96</c:v>
                </c:pt>
                <c:pt idx="62">
                  <c:v>104</c:v>
                </c:pt>
                <c:pt idx="63">
                  <c:v>116</c:v>
                </c:pt>
                <c:pt idx="64">
                  <c:v>68</c:v>
                </c:pt>
                <c:pt idx="65">
                  <c:v>83.2</c:v>
                </c:pt>
                <c:pt idx="66">
                  <c:v>68</c:v>
                </c:pt>
                <c:pt idx="67">
                  <c:v>120</c:v>
                </c:pt>
                <c:pt idx="68">
                  <c:v>88</c:v>
                </c:pt>
                <c:pt idx="69">
                  <c:v>96</c:v>
                </c:pt>
                <c:pt idx="70">
                  <c:v>70.400000000000006</c:v>
                </c:pt>
                <c:pt idx="71">
                  <c:v>92</c:v>
                </c:pt>
                <c:pt idx="72">
                  <c:v>84</c:v>
                </c:pt>
                <c:pt idx="73">
                  <c:v>156</c:v>
                </c:pt>
                <c:pt idx="74">
                  <c:v>144</c:v>
                </c:pt>
                <c:pt idx="75">
                  <c:v>108</c:v>
                </c:pt>
                <c:pt idx="76">
                  <c:v>148</c:v>
                </c:pt>
                <c:pt idx="77">
                  <c:v>152</c:v>
                </c:pt>
                <c:pt idx="78">
                  <c:v>76</c:v>
                </c:pt>
                <c:pt idx="79">
                  <c:v>64</c:v>
                </c:pt>
                <c:pt idx="80">
                  <c:v>192</c:v>
                </c:pt>
                <c:pt idx="81">
                  <c:v>40</c:v>
                </c:pt>
                <c:pt idx="82">
                  <c:v>72</c:v>
                </c:pt>
                <c:pt idx="83">
                  <c:v>88</c:v>
                </c:pt>
                <c:pt idx="84">
                  <c:v>99.977999999999994</c:v>
                </c:pt>
                <c:pt idx="85">
                  <c:v>72</c:v>
                </c:pt>
                <c:pt idx="86">
                  <c:v>224</c:v>
                </c:pt>
                <c:pt idx="87">
                  <c:v>93.8</c:v>
                </c:pt>
                <c:pt idx="88">
                  <c:v>266</c:v>
                </c:pt>
                <c:pt idx="89">
                  <c:v>154</c:v>
                </c:pt>
                <c:pt idx="90">
                  <c:v>98</c:v>
                </c:pt>
                <c:pt idx="91">
                  <c:v>105</c:v>
                </c:pt>
                <c:pt idx="92">
                  <c:v>133</c:v>
                </c:pt>
                <c:pt idx="93">
                  <c:v>189</c:v>
                </c:pt>
                <c:pt idx="94">
                  <c:v>154</c:v>
                </c:pt>
                <c:pt idx="95">
                  <c:v>161</c:v>
                </c:pt>
                <c:pt idx="96">
                  <c:v>455.93700000000001</c:v>
                </c:pt>
                <c:pt idx="97">
                  <c:v>507.36</c:v>
                </c:pt>
                <c:pt idx="98">
                  <c:v>229.31800000000001</c:v>
                </c:pt>
                <c:pt idx="99">
                  <c:v>365.75</c:v>
                </c:pt>
                <c:pt idx="100">
                  <c:v>387.61799999999999</c:v>
                </c:pt>
                <c:pt idx="101">
                  <c:v>398.47699999999998</c:v>
                </c:pt>
                <c:pt idx="102">
                  <c:v>133</c:v>
                </c:pt>
                <c:pt idx="103">
                  <c:v>280</c:v>
                </c:pt>
                <c:pt idx="104">
                  <c:v>168</c:v>
                </c:pt>
                <c:pt idx="105">
                  <c:v>182</c:v>
                </c:pt>
                <c:pt idx="106">
                  <c:v>203</c:v>
                </c:pt>
                <c:pt idx="107">
                  <c:v>119</c:v>
                </c:pt>
                <c:pt idx="108">
                  <c:v>145.6</c:v>
                </c:pt>
                <c:pt idx="109">
                  <c:v>119</c:v>
                </c:pt>
                <c:pt idx="110">
                  <c:v>210</c:v>
                </c:pt>
                <c:pt idx="111">
                  <c:v>154</c:v>
                </c:pt>
                <c:pt idx="112">
                  <c:v>168</c:v>
                </c:pt>
                <c:pt idx="113">
                  <c:v>123.2</c:v>
                </c:pt>
                <c:pt idx="114">
                  <c:v>161</c:v>
                </c:pt>
                <c:pt idx="115">
                  <c:v>147</c:v>
                </c:pt>
                <c:pt idx="116">
                  <c:v>273</c:v>
                </c:pt>
                <c:pt idx="117">
                  <c:v>252</c:v>
                </c:pt>
                <c:pt idx="118">
                  <c:v>189</c:v>
                </c:pt>
                <c:pt idx="119">
                  <c:v>259</c:v>
                </c:pt>
                <c:pt idx="120">
                  <c:v>266</c:v>
                </c:pt>
                <c:pt idx="121">
                  <c:v>133</c:v>
                </c:pt>
                <c:pt idx="122">
                  <c:v>112</c:v>
                </c:pt>
                <c:pt idx="123">
                  <c:v>336</c:v>
                </c:pt>
                <c:pt idx="124">
                  <c:v>70</c:v>
                </c:pt>
                <c:pt idx="125">
                  <c:v>126</c:v>
                </c:pt>
                <c:pt idx="126">
                  <c:v>154</c:v>
                </c:pt>
                <c:pt idx="127">
                  <c:v>174.96100000000001</c:v>
                </c:pt>
                <c:pt idx="128">
                  <c:v>126</c:v>
                </c:pt>
                <c:pt idx="129">
                  <c:v>256</c:v>
                </c:pt>
                <c:pt idx="130">
                  <c:v>107.2</c:v>
                </c:pt>
                <c:pt idx="131">
                  <c:v>304</c:v>
                </c:pt>
                <c:pt idx="132">
                  <c:v>176</c:v>
                </c:pt>
                <c:pt idx="133">
                  <c:v>112</c:v>
                </c:pt>
                <c:pt idx="134">
                  <c:v>120</c:v>
                </c:pt>
                <c:pt idx="135">
                  <c:v>152</c:v>
                </c:pt>
                <c:pt idx="136">
                  <c:v>216</c:v>
                </c:pt>
                <c:pt idx="137">
                  <c:v>176</c:v>
                </c:pt>
                <c:pt idx="138">
                  <c:v>184</c:v>
                </c:pt>
                <c:pt idx="139">
                  <c:v>521.072</c:v>
                </c:pt>
                <c:pt idx="140">
                  <c:v>579.84</c:v>
                </c:pt>
                <c:pt idx="141">
                  <c:v>262.07799999999997</c:v>
                </c:pt>
                <c:pt idx="142">
                  <c:v>418</c:v>
                </c:pt>
                <c:pt idx="143">
                  <c:v>442.99200000000002</c:v>
                </c:pt>
                <c:pt idx="144">
                  <c:v>455.40199999999999</c:v>
                </c:pt>
                <c:pt idx="145">
                  <c:v>152</c:v>
                </c:pt>
                <c:pt idx="146">
                  <c:v>320</c:v>
                </c:pt>
                <c:pt idx="147">
                  <c:v>192</c:v>
                </c:pt>
                <c:pt idx="148">
                  <c:v>208</c:v>
                </c:pt>
                <c:pt idx="149">
                  <c:v>232</c:v>
                </c:pt>
                <c:pt idx="150">
                  <c:v>136</c:v>
                </c:pt>
                <c:pt idx="151">
                  <c:v>166.4</c:v>
                </c:pt>
                <c:pt idx="152">
                  <c:v>136</c:v>
                </c:pt>
                <c:pt idx="153">
                  <c:v>240</c:v>
                </c:pt>
                <c:pt idx="154">
                  <c:v>176</c:v>
                </c:pt>
                <c:pt idx="155">
                  <c:v>192</c:v>
                </c:pt>
                <c:pt idx="156">
                  <c:v>140.80000000000001</c:v>
                </c:pt>
                <c:pt idx="157">
                  <c:v>184</c:v>
                </c:pt>
                <c:pt idx="158">
                  <c:v>168</c:v>
                </c:pt>
                <c:pt idx="159">
                  <c:v>312</c:v>
                </c:pt>
                <c:pt idx="160">
                  <c:v>288</c:v>
                </c:pt>
                <c:pt idx="161">
                  <c:v>216</c:v>
                </c:pt>
                <c:pt idx="162">
                  <c:v>296</c:v>
                </c:pt>
                <c:pt idx="163">
                  <c:v>304</c:v>
                </c:pt>
                <c:pt idx="164">
                  <c:v>152</c:v>
                </c:pt>
                <c:pt idx="165">
                  <c:v>128</c:v>
                </c:pt>
                <c:pt idx="166">
                  <c:v>384</c:v>
                </c:pt>
                <c:pt idx="167">
                  <c:v>80</c:v>
                </c:pt>
                <c:pt idx="168">
                  <c:v>144</c:v>
                </c:pt>
                <c:pt idx="169">
                  <c:v>176</c:v>
                </c:pt>
                <c:pt idx="170">
                  <c:v>199.95599999999999</c:v>
                </c:pt>
                <c:pt idx="171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F-4746-B2A7-93C929167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761279"/>
        <c:axId val="1170760319"/>
      </c:scatterChart>
      <c:valAx>
        <c:axId val="11707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0760319"/>
        <c:crosses val="autoZero"/>
        <c:crossBetween val="midCat"/>
      </c:valAx>
      <c:valAx>
        <c:axId val="11707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076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'Arquivo_Valorizacao_Ambiental -'!$Q$1</c:f>
              <c:strCache>
                <c:ptCount val="1"/>
                <c:pt idx="0">
                  <c:v>LUXO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'Arquivo_Valorizacao_Ambiental -'!$O$2:$O$173</c:f>
              <c:numCache>
                <c:formatCode>General</c:formatCode>
                <c:ptCount val="172"/>
                <c:pt idx="0">
                  <c:v>168</c:v>
                </c:pt>
                <c:pt idx="1">
                  <c:v>129</c:v>
                </c:pt>
                <c:pt idx="2">
                  <c:v>218</c:v>
                </c:pt>
                <c:pt idx="3">
                  <c:v>180</c:v>
                </c:pt>
                <c:pt idx="4">
                  <c:v>120</c:v>
                </c:pt>
                <c:pt idx="5">
                  <c:v>160</c:v>
                </c:pt>
                <c:pt idx="6">
                  <c:v>155</c:v>
                </c:pt>
                <c:pt idx="7">
                  <c:v>165</c:v>
                </c:pt>
                <c:pt idx="8">
                  <c:v>150</c:v>
                </c:pt>
                <c:pt idx="9">
                  <c:v>185</c:v>
                </c:pt>
                <c:pt idx="10">
                  <c:v>393</c:v>
                </c:pt>
                <c:pt idx="11">
                  <c:v>393</c:v>
                </c:pt>
                <c:pt idx="12">
                  <c:v>226</c:v>
                </c:pt>
                <c:pt idx="13">
                  <c:v>313</c:v>
                </c:pt>
                <c:pt idx="14">
                  <c:v>305</c:v>
                </c:pt>
                <c:pt idx="15">
                  <c:v>305</c:v>
                </c:pt>
                <c:pt idx="16">
                  <c:v>161</c:v>
                </c:pt>
                <c:pt idx="17">
                  <c:v>277</c:v>
                </c:pt>
                <c:pt idx="18">
                  <c:v>157</c:v>
                </c:pt>
                <c:pt idx="19">
                  <c:v>156</c:v>
                </c:pt>
                <c:pt idx="20">
                  <c:v>162</c:v>
                </c:pt>
                <c:pt idx="21">
                  <c:v>180</c:v>
                </c:pt>
                <c:pt idx="22">
                  <c:v>130</c:v>
                </c:pt>
                <c:pt idx="23">
                  <c:v>130</c:v>
                </c:pt>
                <c:pt idx="24">
                  <c:v>175</c:v>
                </c:pt>
                <c:pt idx="25">
                  <c:v>161</c:v>
                </c:pt>
                <c:pt idx="26">
                  <c:v>161</c:v>
                </c:pt>
                <c:pt idx="27">
                  <c:v>135</c:v>
                </c:pt>
                <c:pt idx="28">
                  <c:v>140</c:v>
                </c:pt>
                <c:pt idx="29">
                  <c:v>150</c:v>
                </c:pt>
                <c:pt idx="30">
                  <c:v>210</c:v>
                </c:pt>
                <c:pt idx="31">
                  <c:v>192</c:v>
                </c:pt>
                <c:pt idx="32">
                  <c:v>200</c:v>
                </c:pt>
                <c:pt idx="33">
                  <c:v>251</c:v>
                </c:pt>
                <c:pt idx="34">
                  <c:v>260</c:v>
                </c:pt>
                <c:pt idx="35">
                  <c:v>192</c:v>
                </c:pt>
                <c:pt idx="36">
                  <c:v>115</c:v>
                </c:pt>
                <c:pt idx="37">
                  <c:v>370</c:v>
                </c:pt>
                <c:pt idx="38">
                  <c:v>105</c:v>
                </c:pt>
                <c:pt idx="39">
                  <c:v>171</c:v>
                </c:pt>
                <c:pt idx="40">
                  <c:v>173</c:v>
                </c:pt>
                <c:pt idx="41">
                  <c:v>180</c:v>
                </c:pt>
                <c:pt idx="42">
                  <c:v>160</c:v>
                </c:pt>
                <c:pt idx="43">
                  <c:v>110</c:v>
                </c:pt>
                <c:pt idx="44">
                  <c:v>84</c:v>
                </c:pt>
                <c:pt idx="45">
                  <c:v>142</c:v>
                </c:pt>
                <c:pt idx="46">
                  <c:v>117</c:v>
                </c:pt>
                <c:pt idx="47">
                  <c:v>78</c:v>
                </c:pt>
                <c:pt idx="48">
                  <c:v>104</c:v>
                </c:pt>
                <c:pt idx="49">
                  <c:v>101</c:v>
                </c:pt>
                <c:pt idx="50">
                  <c:v>108</c:v>
                </c:pt>
                <c:pt idx="51">
                  <c:v>98</c:v>
                </c:pt>
                <c:pt idx="52">
                  <c:v>121</c:v>
                </c:pt>
                <c:pt idx="53">
                  <c:v>256</c:v>
                </c:pt>
                <c:pt idx="54">
                  <c:v>256</c:v>
                </c:pt>
                <c:pt idx="55">
                  <c:v>147</c:v>
                </c:pt>
                <c:pt idx="56">
                  <c:v>204</c:v>
                </c:pt>
                <c:pt idx="57">
                  <c:v>198</c:v>
                </c:pt>
                <c:pt idx="58">
                  <c:v>198</c:v>
                </c:pt>
                <c:pt idx="59">
                  <c:v>105</c:v>
                </c:pt>
                <c:pt idx="60">
                  <c:v>181</c:v>
                </c:pt>
                <c:pt idx="61">
                  <c:v>103</c:v>
                </c:pt>
                <c:pt idx="62">
                  <c:v>102</c:v>
                </c:pt>
                <c:pt idx="63">
                  <c:v>106</c:v>
                </c:pt>
                <c:pt idx="64">
                  <c:v>117</c:v>
                </c:pt>
                <c:pt idx="65">
                  <c:v>84</c:v>
                </c:pt>
                <c:pt idx="66">
                  <c:v>85</c:v>
                </c:pt>
                <c:pt idx="67">
                  <c:v>114</c:v>
                </c:pt>
                <c:pt idx="68">
                  <c:v>105</c:v>
                </c:pt>
                <c:pt idx="69">
                  <c:v>105</c:v>
                </c:pt>
                <c:pt idx="70">
                  <c:v>88</c:v>
                </c:pt>
                <c:pt idx="71">
                  <c:v>91</c:v>
                </c:pt>
                <c:pt idx="72">
                  <c:v>98</c:v>
                </c:pt>
                <c:pt idx="73">
                  <c:v>137</c:v>
                </c:pt>
                <c:pt idx="74">
                  <c:v>125</c:v>
                </c:pt>
                <c:pt idx="75">
                  <c:v>130</c:v>
                </c:pt>
                <c:pt idx="76">
                  <c:v>164</c:v>
                </c:pt>
                <c:pt idx="77">
                  <c:v>169</c:v>
                </c:pt>
                <c:pt idx="78">
                  <c:v>125</c:v>
                </c:pt>
                <c:pt idx="79">
                  <c:v>75</c:v>
                </c:pt>
                <c:pt idx="80">
                  <c:v>241</c:v>
                </c:pt>
                <c:pt idx="81">
                  <c:v>69</c:v>
                </c:pt>
                <c:pt idx="82">
                  <c:v>112</c:v>
                </c:pt>
                <c:pt idx="83">
                  <c:v>113</c:v>
                </c:pt>
                <c:pt idx="84">
                  <c:v>117</c:v>
                </c:pt>
                <c:pt idx="85">
                  <c:v>104</c:v>
                </c:pt>
                <c:pt idx="86">
                  <c:v>152</c:v>
                </c:pt>
                <c:pt idx="87">
                  <c:v>116</c:v>
                </c:pt>
                <c:pt idx="88">
                  <c:v>196</c:v>
                </c:pt>
                <c:pt idx="89">
                  <c:v>162</c:v>
                </c:pt>
                <c:pt idx="90">
                  <c:v>108</c:v>
                </c:pt>
                <c:pt idx="91">
                  <c:v>144</c:v>
                </c:pt>
                <c:pt idx="92">
                  <c:v>140</c:v>
                </c:pt>
                <c:pt idx="93">
                  <c:v>149</c:v>
                </c:pt>
                <c:pt idx="94">
                  <c:v>135</c:v>
                </c:pt>
                <c:pt idx="95">
                  <c:v>167</c:v>
                </c:pt>
                <c:pt idx="96">
                  <c:v>354</c:v>
                </c:pt>
                <c:pt idx="97">
                  <c:v>354</c:v>
                </c:pt>
                <c:pt idx="98">
                  <c:v>204</c:v>
                </c:pt>
                <c:pt idx="99">
                  <c:v>282</c:v>
                </c:pt>
                <c:pt idx="100">
                  <c:v>274</c:v>
                </c:pt>
                <c:pt idx="101">
                  <c:v>274</c:v>
                </c:pt>
                <c:pt idx="102">
                  <c:v>145</c:v>
                </c:pt>
                <c:pt idx="103">
                  <c:v>250</c:v>
                </c:pt>
                <c:pt idx="104">
                  <c:v>142</c:v>
                </c:pt>
                <c:pt idx="105">
                  <c:v>141</c:v>
                </c:pt>
                <c:pt idx="106">
                  <c:v>146</c:v>
                </c:pt>
                <c:pt idx="107">
                  <c:v>162</c:v>
                </c:pt>
                <c:pt idx="108">
                  <c:v>117</c:v>
                </c:pt>
                <c:pt idx="109">
                  <c:v>117</c:v>
                </c:pt>
                <c:pt idx="110">
                  <c:v>158</c:v>
                </c:pt>
                <c:pt idx="111">
                  <c:v>145</c:v>
                </c:pt>
                <c:pt idx="112">
                  <c:v>145</c:v>
                </c:pt>
                <c:pt idx="113">
                  <c:v>122</c:v>
                </c:pt>
                <c:pt idx="114">
                  <c:v>126</c:v>
                </c:pt>
                <c:pt idx="115">
                  <c:v>135</c:v>
                </c:pt>
                <c:pt idx="116">
                  <c:v>189</c:v>
                </c:pt>
                <c:pt idx="117">
                  <c:v>173</c:v>
                </c:pt>
                <c:pt idx="118">
                  <c:v>180</c:v>
                </c:pt>
                <c:pt idx="119">
                  <c:v>226</c:v>
                </c:pt>
                <c:pt idx="120">
                  <c:v>234</c:v>
                </c:pt>
                <c:pt idx="121">
                  <c:v>173</c:v>
                </c:pt>
                <c:pt idx="122">
                  <c:v>104</c:v>
                </c:pt>
                <c:pt idx="123">
                  <c:v>333</c:v>
                </c:pt>
                <c:pt idx="124">
                  <c:v>95</c:v>
                </c:pt>
                <c:pt idx="125">
                  <c:v>154</c:v>
                </c:pt>
                <c:pt idx="126">
                  <c:v>156</c:v>
                </c:pt>
                <c:pt idx="127">
                  <c:v>162</c:v>
                </c:pt>
                <c:pt idx="128">
                  <c:v>144</c:v>
                </c:pt>
                <c:pt idx="129">
                  <c:v>131</c:v>
                </c:pt>
                <c:pt idx="130">
                  <c:v>101</c:v>
                </c:pt>
                <c:pt idx="131">
                  <c:v>170</c:v>
                </c:pt>
                <c:pt idx="132">
                  <c:v>141</c:v>
                </c:pt>
                <c:pt idx="133">
                  <c:v>94</c:v>
                </c:pt>
                <c:pt idx="134">
                  <c:v>125</c:v>
                </c:pt>
                <c:pt idx="135">
                  <c:v>121</c:v>
                </c:pt>
                <c:pt idx="136">
                  <c:v>129</c:v>
                </c:pt>
                <c:pt idx="137">
                  <c:v>117</c:v>
                </c:pt>
                <c:pt idx="138">
                  <c:v>145</c:v>
                </c:pt>
                <c:pt idx="139">
                  <c:v>307</c:v>
                </c:pt>
                <c:pt idx="140">
                  <c:v>307</c:v>
                </c:pt>
                <c:pt idx="141">
                  <c:v>177</c:v>
                </c:pt>
                <c:pt idx="142">
                  <c:v>245</c:v>
                </c:pt>
                <c:pt idx="143">
                  <c:v>238</c:v>
                </c:pt>
                <c:pt idx="144">
                  <c:v>238</c:v>
                </c:pt>
                <c:pt idx="145">
                  <c:v>126</c:v>
                </c:pt>
                <c:pt idx="146">
                  <c:v>217</c:v>
                </c:pt>
                <c:pt idx="147">
                  <c:v>123</c:v>
                </c:pt>
                <c:pt idx="148">
                  <c:v>122</c:v>
                </c:pt>
                <c:pt idx="149">
                  <c:v>127</c:v>
                </c:pt>
                <c:pt idx="150">
                  <c:v>141</c:v>
                </c:pt>
                <c:pt idx="151">
                  <c:v>101</c:v>
                </c:pt>
                <c:pt idx="152">
                  <c:v>102</c:v>
                </c:pt>
                <c:pt idx="153">
                  <c:v>137</c:v>
                </c:pt>
                <c:pt idx="154">
                  <c:v>125</c:v>
                </c:pt>
                <c:pt idx="155">
                  <c:v>125</c:v>
                </c:pt>
                <c:pt idx="156">
                  <c:v>106</c:v>
                </c:pt>
                <c:pt idx="157">
                  <c:v>110</c:v>
                </c:pt>
                <c:pt idx="158">
                  <c:v>117</c:v>
                </c:pt>
                <c:pt idx="159">
                  <c:v>164</c:v>
                </c:pt>
                <c:pt idx="160">
                  <c:v>150</c:v>
                </c:pt>
                <c:pt idx="161">
                  <c:v>156</c:v>
                </c:pt>
                <c:pt idx="162">
                  <c:v>196</c:v>
                </c:pt>
                <c:pt idx="163">
                  <c:v>203</c:v>
                </c:pt>
                <c:pt idx="164">
                  <c:v>150</c:v>
                </c:pt>
                <c:pt idx="165">
                  <c:v>90</c:v>
                </c:pt>
                <c:pt idx="166">
                  <c:v>289</c:v>
                </c:pt>
                <c:pt idx="167">
                  <c:v>82</c:v>
                </c:pt>
                <c:pt idx="168">
                  <c:v>134</c:v>
                </c:pt>
                <c:pt idx="169">
                  <c:v>135</c:v>
                </c:pt>
                <c:pt idx="170">
                  <c:v>141</c:v>
                </c:pt>
                <c:pt idx="171">
                  <c:v>125</c:v>
                </c:pt>
              </c:numCache>
            </c:numRef>
          </c:xVal>
          <c:yVal>
            <c:numRef>
              <c:f>'Arquivo_Valorizacao_Ambiental -'!$Q$2:$Q$173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6-43E7-9F63-7B6F7B29E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52511"/>
        <c:axId val="195954431"/>
      </c:scatterChart>
      <c:valAx>
        <c:axId val="19595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54431"/>
        <c:crosses val="autoZero"/>
        <c:crossBetween val="midCat"/>
      </c:valAx>
      <c:valAx>
        <c:axId val="19595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95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3</xdr:row>
      <xdr:rowOff>128587</xdr:rowOff>
    </xdr:from>
    <xdr:to>
      <xdr:col>11</xdr:col>
      <xdr:colOff>500062</xdr:colOff>
      <xdr:row>18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1922CD-5D4B-10F9-63E1-D767531E5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623887</xdr:colOff>
      <xdr:row>158</xdr:row>
      <xdr:rowOff>138112</xdr:rowOff>
    </xdr:from>
    <xdr:to>
      <xdr:col>23</xdr:col>
      <xdr:colOff>290512</xdr:colOff>
      <xdr:row>173</xdr:row>
      <xdr:rowOff>23812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284BAB6-ADA1-13B0-5277-527C25466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A3E1-9D1E-496B-A13C-897C7DCFCFCA}">
  <dimension ref="A1:Q175"/>
  <sheetViews>
    <sheetView tabSelected="1" topLeftCell="I1" workbookViewId="0">
      <selection activeCell="X14" sqref="X14"/>
    </sheetView>
  </sheetViews>
  <sheetFormatPr defaultRowHeight="15" x14ac:dyDescent="0.25"/>
  <cols>
    <col min="13" max="13" width="9.140625" style="2"/>
    <col min="16" max="16" width="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tr">
        <f>C1</f>
        <v>Area</v>
      </c>
      <c r="M1" s="2" t="str">
        <f>B1</f>
        <v>Valor</v>
      </c>
      <c r="O1" t="s">
        <v>10</v>
      </c>
      <c r="Q1" t="s">
        <v>11</v>
      </c>
    </row>
    <row r="2" spans="1:17" x14ac:dyDescent="0.25">
      <c r="A2">
        <v>1</v>
      </c>
      <c r="B2">
        <v>160000</v>
      </c>
      <c r="C2">
        <v>168</v>
      </c>
      <c r="D2">
        <v>1</v>
      </c>
      <c r="E2">
        <v>5</v>
      </c>
      <c r="F2">
        <v>1</v>
      </c>
      <c r="G2">
        <v>1</v>
      </c>
      <c r="H2">
        <v>294</v>
      </c>
      <c r="I2">
        <v>1</v>
      </c>
      <c r="J2">
        <v>0</v>
      </c>
      <c r="L2">
        <f>C2</f>
        <v>168</v>
      </c>
      <c r="M2" s="2">
        <f>B2/1000</f>
        <v>160</v>
      </c>
      <c r="O2">
        <f>L2</f>
        <v>168</v>
      </c>
      <c r="P2" s="1">
        <f>B2/C2</f>
        <v>952.38095238095241</v>
      </c>
      <c r="Q2">
        <f>IF(P2&gt;1000,1,0)</f>
        <v>0</v>
      </c>
    </row>
    <row r="3" spans="1:17" x14ac:dyDescent="0.25">
      <c r="A3">
        <v>2</v>
      </c>
      <c r="B3">
        <v>67000</v>
      </c>
      <c r="C3">
        <v>129</v>
      </c>
      <c r="D3">
        <v>1</v>
      </c>
      <c r="E3">
        <v>6</v>
      </c>
      <c r="F3">
        <v>0</v>
      </c>
      <c r="G3">
        <v>0</v>
      </c>
      <c r="H3">
        <v>1505</v>
      </c>
      <c r="I3">
        <v>1</v>
      </c>
      <c r="J3">
        <v>0</v>
      </c>
      <c r="L3">
        <f t="shared" ref="L3:L66" si="0">C3</f>
        <v>129</v>
      </c>
      <c r="M3" s="2">
        <f t="shared" ref="M3:M66" si="1">B3/1000</f>
        <v>67</v>
      </c>
      <c r="O3">
        <f t="shared" ref="O3:O66" si="2">L3</f>
        <v>129</v>
      </c>
      <c r="P3" s="1">
        <f t="shared" ref="P3:P66" si="3">B3/C3</f>
        <v>519.37984496124034</v>
      </c>
      <c r="Q3">
        <f>IF(P2&gt;1000,1,0)</f>
        <v>0</v>
      </c>
    </row>
    <row r="4" spans="1:17" x14ac:dyDescent="0.25">
      <c r="A4">
        <v>3</v>
      </c>
      <c r="B4">
        <v>190000</v>
      </c>
      <c r="C4">
        <v>218</v>
      </c>
      <c r="D4">
        <v>1</v>
      </c>
      <c r="E4">
        <v>8</v>
      </c>
      <c r="F4">
        <v>1</v>
      </c>
      <c r="G4">
        <v>0</v>
      </c>
      <c r="H4">
        <v>251</v>
      </c>
      <c r="I4">
        <v>0</v>
      </c>
      <c r="J4">
        <v>1</v>
      </c>
      <c r="L4">
        <f t="shared" si="0"/>
        <v>218</v>
      </c>
      <c r="M4" s="2">
        <f t="shared" si="1"/>
        <v>190</v>
      </c>
      <c r="O4">
        <f t="shared" si="2"/>
        <v>218</v>
      </c>
      <c r="P4" s="1">
        <f t="shared" si="3"/>
        <v>871.55963302752298</v>
      </c>
      <c r="Q4">
        <f>IF(P3&gt;1000,1,0)</f>
        <v>0</v>
      </c>
    </row>
    <row r="5" spans="1:17" x14ac:dyDescent="0.25">
      <c r="A5">
        <v>4</v>
      </c>
      <c r="B5">
        <v>110000</v>
      </c>
      <c r="C5">
        <v>180</v>
      </c>
      <c r="D5">
        <v>12</v>
      </c>
      <c r="E5">
        <v>4</v>
      </c>
      <c r="F5">
        <v>1</v>
      </c>
      <c r="G5">
        <v>0</v>
      </c>
      <c r="H5">
        <v>245</v>
      </c>
      <c r="I5">
        <v>0</v>
      </c>
      <c r="J5">
        <v>0</v>
      </c>
      <c r="L5">
        <f t="shared" si="0"/>
        <v>180</v>
      </c>
      <c r="M5" s="2">
        <f t="shared" si="1"/>
        <v>110</v>
      </c>
      <c r="O5">
        <f t="shared" si="2"/>
        <v>180</v>
      </c>
      <c r="P5" s="1">
        <f t="shared" si="3"/>
        <v>611.11111111111109</v>
      </c>
      <c r="Q5">
        <f>IF(P4&gt;1000,1,0)</f>
        <v>0</v>
      </c>
    </row>
    <row r="6" spans="1:17" x14ac:dyDescent="0.25">
      <c r="A6">
        <v>5</v>
      </c>
      <c r="B6">
        <v>70000</v>
      </c>
      <c r="C6">
        <v>120</v>
      </c>
      <c r="D6">
        <v>15</v>
      </c>
      <c r="E6">
        <v>3</v>
      </c>
      <c r="F6">
        <v>1</v>
      </c>
      <c r="G6">
        <v>0</v>
      </c>
      <c r="H6">
        <v>956</v>
      </c>
      <c r="I6">
        <v>1</v>
      </c>
      <c r="J6">
        <v>0</v>
      </c>
      <c r="L6">
        <f t="shared" si="0"/>
        <v>120</v>
      </c>
      <c r="M6" s="2">
        <f t="shared" si="1"/>
        <v>70</v>
      </c>
      <c r="O6">
        <f t="shared" si="2"/>
        <v>120</v>
      </c>
      <c r="P6" s="1">
        <f t="shared" si="3"/>
        <v>583.33333333333337</v>
      </c>
      <c r="Q6">
        <f>IF(P5&gt;1000,1,0)</f>
        <v>0</v>
      </c>
    </row>
    <row r="7" spans="1:17" x14ac:dyDescent="0.25">
      <c r="A7">
        <v>6</v>
      </c>
      <c r="B7">
        <v>75000</v>
      </c>
      <c r="C7">
        <v>160</v>
      </c>
      <c r="D7">
        <v>18</v>
      </c>
      <c r="E7">
        <v>2</v>
      </c>
      <c r="F7">
        <v>0</v>
      </c>
      <c r="G7">
        <v>1</v>
      </c>
      <c r="H7">
        <v>85</v>
      </c>
      <c r="I7">
        <v>0</v>
      </c>
      <c r="J7">
        <v>1</v>
      </c>
      <c r="L7">
        <f t="shared" si="0"/>
        <v>160</v>
      </c>
      <c r="M7" s="2">
        <f t="shared" si="1"/>
        <v>75</v>
      </c>
      <c r="O7">
        <f t="shared" si="2"/>
        <v>160</v>
      </c>
      <c r="P7" s="1">
        <f t="shared" si="3"/>
        <v>468.75</v>
      </c>
      <c r="Q7">
        <f>IF(P6&gt;1000,1,0)</f>
        <v>0</v>
      </c>
    </row>
    <row r="8" spans="1:17" x14ac:dyDescent="0.25">
      <c r="A8">
        <v>7</v>
      </c>
      <c r="B8">
        <v>95000</v>
      </c>
      <c r="C8">
        <v>155</v>
      </c>
      <c r="D8">
        <v>5</v>
      </c>
      <c r="E8">
        <v>3</v>
      </c>
      <c r="F8">
        <v>1</v>
      </c>
      <c r="G8">
        <v>0</v>
      </c>
      <c r="H8">
        <v>1401</v>
      </c>
      <c r="I8">
        <v>1</v>
      </c>
      <c r="J8">
        <v>0</v>
      </c>
      <c r="L8">
        <f t="shared" si="0"/>
        <v>155</v>
      </c>
      <c r="M8" s="2">
        <f t="shared" si="1"/>
        <v>95</v>
      </c>
      <c r="O8">
        <f t="shared" si="2"/>
        <v>155</v>
      </c>
      <c r="P8" s="1">
        <f t="shared" si="3"/>
        <v>612.90322580645159</v>
      </c>
      <c r="Q8">
        <f>IF(P7&gt;1000,1,0)</f>
        <v>0</v>
      </c>
    </row>
    <row r="9" spans="1:17" x14ac:dyDescent="0.25">
      <c r="A9">
        <v>8</v>
      </c>
      <c r="B9">
        <v>135000</v>
      </c>
      <c r="C9">
        <v>165</v>
      </c>
      <c r="D9">
        <v>1</v>
      </c>
      <c r="E9">
        <v>2</v>
      </c>
      <c r="F9">
        <v>1</v>
      </c>
      <c r="G9">
        <v>1</v>
      </c>
      <c r="H9">
        <v>148</v>
      </c>
      <c r="I9">
        <v>0</v>
      </c>
      <c r="J9">
        <v>1</v>
      </c>
      <c r="L9">
        <f t="shared" si="0"/>
        <v>165</v>
      </c>
      <c r="M9" s="2">
        <f t="shared" si="1"/>
        <v>135</v>
      </c>
      <c r="O9">
        <f t="shared" si="2"/>
        <v>165</v>
      </c>
      <c r="P9" s="1">
        <f t="shared" si="3"/>
        <v>818.18181818181813</v>
      </c>
      <c r="Q9">
        <f>IF(P8&gt;1000,1,0)</f>
        <v>0</v>
      </c>
    </row>
    <row r="10" spans="1:17" x14ac:dyDescent="0.25">
      <c r="A10">
        <v>9</v>
      </c>
      <c r="B10">
        <v>110000</v>
      </c>
      <c r="C10">
        <v>150</v>
      </c>
      <c r="D10">
        <v>10</v>
      </c>
      <c r="E10">
        <v>4</v>
      </c>
      <c r="F10">
        <v>1</v>
      </c>
      <c r="G10">
        <v>0</v>
      </c>
      <c r="H10">
        <v>143</v>
      </c>
      <c r="I10">
        <v>0</v>
      </c>
      <c r="J10">
        <v>0</v>
      </c>
      <c r="L10">
        <f t="shared" si="0"/>
        <v>150</v>
      </c>
      <c r="M10" s="2">
        <f t="shared" si="1"/>
        <v>110</v>
      </c>
      <c r="O10">
        <f t="shared" si="2"/>
        <v>150</v>
      </c>
      <c r="P10" s="1">
        <f t="shared" si="3"/>
        <v>733.33333333333337</v>
      </c>
      <c r="Q10">
        <f>IF(P9&gt;1000,1,0)</f>
        <v>0</v>
      </c>
    </row>
    <row r="11" spans="1:17" x14ac:dyDescent="0.25">
      <c r="A11">
        <v>10</v>
      </c>
      <c r="B11">
        <v>115000</v>
      </c>
      <c r="C11">
        <v>185</v>
      </c>
      <c r="D11">
        <v>15</v>
      </c>
      <c r="E11">
        <v>5</v>
      </c>
      <c r="F11">
        <v>1</v>
      </c>
      <c r="G11">
        <v>0</v>
      </c>
      <c r="H11">
        <v>831</v>
      </c>
      <c r="I11">
        <v>0</v>
      </c>
      <c r="J11">
        <v>0</v>
      </c>
      <c r="L11">
        <f t="shared" si="0"/>
        <v>185</v>
      </c>
      <c r="M11" s="2">
        <f t="shared" si="1"/>
        <v>115</v>
      </c>
      <c r="O11">
        <f t="shared" si="2"/>
        <v>185</v>
      </c>
      <c r="P11" s="1">
        <f t="shared" si="3"/>
        <v>621.62162162162167</v>
      </c>
      <c r="Q11">
        <f>IF(P10&gt;1000,1,0)</f>
        <v>0</v>
      </c>
    </row>
    <row r="12" spans="1:17" x14ac:dyDescent="0.25">
      <c r="A12">
        <v>11</v>
      </c>
      <c r="B12">
        <v>325669</v>
      </c>
      <c r="C12">
        <v>393</v>
      </c>
      <c r="D12">
        <v>1</v>
      </c>
      <c r="E12">
        <v>4</v>
      </c>
      <c r="F12">
        <v>2</v>
      </c>
      <c r="G12">
        <v>0</v>
      </c>
      <c r="H12">
        <v>421</v>
      </c>
      <c r="I12">
        <v>1</v>
      </c>
      <c r="J12">
        <v>1</v>
      </c>
      <c r="L12">
        <f t="shared" si="0"/>
        <v>393</v>
      </c>
      <c r="M12" s="2">
        <f t="shared" si="1"/>
        <v>325.66899999999998</v>
      </c>
      <c r="O12">
        <f t="shared" si="2"/>
        <v>393</v>
      </c>
      <c r="P12" s="1">
        <f t="shared" si="3"/>
        <v>828.67430025445287</v>
      </c>
      <c r="Q12">
        <f>IF(P11&gt;1000,1,0)</f>
        <v>0</v>
      </c>
    </row>
    <row r="13" spans="1:17" x14ac:dyDescent="0.25">
      <c r="A13">
        <v>12</v>
      </c>
      <c r="B13">
        <v>362400</v>
      </c>
      <c r="C13">
        <v>393</v>
      </c>
      <c r="D13">
        <v>1</v>
      </c>
      <c r="E13">
        <v>8</v>
      </c>
      <c r="F13">
        <v>2</v>
      </c>
      <c r="G13">
        <v>0</v>
      </c>
      <c r="H13">
        <v>421</v>
      </c>
      <c r="I13">
        <v>1</v>
      </c>
      <c r="J13">
        <v>1</v>
      </c>
      <c r="L13">
        <f t="shared" si="0"/>
        <v>393</v>
      </c>
      <c r="M13" s="2">
        <f t="shared" si="1"/>
        <v>362.4</v>
      </c>
      <c r="O13">
        <f t="shared" si="2"/>
        <v>393</v>
      </c>
      <c r="P13" s="1">
        <f t="shared" si="3"/>
        <v>922.13740458015263</v>
      </c>
      <c r="Q13">
        <f>IF(P12&gt;1000,1,0)</f>
        <v>0</v>
      </c>
    </row>
    <row r="14" spans="1:17" x14ac:dyDescent="0.25">
      <c r="A14">
        <v>13</v>
      </c>
      <c r="B14">
        <v>163798</v>
      </c>
      <c r="C14">
        <v>226</v>
      </c>
      <c r="D14">
        <v>1</v>
      </c>
      <c r="E14">
        <v>2</v>
      </c>
      <c r="F14">
        <v>1</v>
      </c>
      <c r="G14">
        <v>0</v>
      </c>
      <c r="H14">
        <v>397</v>
      </c>
      <c r="I14">
        <v>1</v>
      </c>
      <c r="J14">
        <v>0</v>
      </c>
      <c r="L14">
        <f t="shared" si="0"/>
        <v>226</v>
      </c>
      <c r="M14" s="2">
        <f t="shared" si="1"/>
        <v>163.798</v>
      </c>
      <c r="O14">
        <f t="shared" si="2"/>
        <v>226</v>
      </c>
      <c r="P14" s="1">
        <f t="shared" si="3"/>
        <v>724.76991150442473</v>
      </c>
      <c r="Q14">
        <f>IF(P13&gt;1000,1,0)</f>
        <v>0</v>
      </c>
    </row>
    <row r="15" spans="1:17" x14ac:dyDescent="0.25">
      <c r="A15">
        <v>14</v>
      </c>
      <c r="B15">
        <v>261250</v>
      </c>
      <c r="C15">
        <v>313</v>
      </c>
      <c r="D15">
        <v>1</v>
      </c>
      <c r="E15">
        <v>3</v>
      </c>
      <c r="F15">
        <v>2</v>
      </c>
      <c r="G15">
        <v>0</v>
      </c>
      <c r="H15">
        <v>319</v>
      </c>
      <c r="I15">
        <v>1</v>
      </c>
      <c r="J15">
        <v>0</v>
      </c>
      <c r="L15">
        <f t="shared" si="0"/>
        <v>313</v>
      </c>
      <c r="M15" s="2">
        <f t="shared" si="1"/>
        <v>261.25</v>
      </c>
      <c r="O15">
        <f t="shared" si="2"/>
        <v>313</v>
      </c>
      <c r="P15" s="1">
        <f t="shared" si="3"/>
        <v>834.66453674121408</v>
      </c>
      <c r="Q15">
        <f>IF(P14&gt;1000,1,0)</f>
        <v>0</v>
      </c>
    </row>
    <row r="16" spans="1:17" x14ac:dyDescent="0.25">
      <c r="A16">
        <v>15</v>
      </c>
      <c r="B16">
        <v>276870</v>
      </c>
      <c r="C16">
        <v>305</v>
      </c>
      <c r="D16">
        <v>1</v>
      </c>
      <c r="E16">
        <v>5</v>
      </c>
      <c r="F16">
        <v>4</v>
      </c>
      <c r="G16">
        <v>0</v>
      </c>
      <c r="H16">
        <v>461</v>
      </c>
      <c r="I16">
        <v>1</v>
      </c>
      <c r="J16">
        <v>1</v>
      </c>
      <c r="L16">
        <f t="shared" si="0"/>
        <v>305</v>
      </c>
      <c r="M16" s="2">
        <f t="shared" si="1"/>
        <v>276.87</v>
      </c>
      <c r="O16">
        <f t="shared" si="2"/>
        <v>305</v>
      </c>
      <c r="P16" s="1">
        <f t="shared" si="3"/>
        <v>907.77049180327867</v>
      </c>
      <c r="Q16">
        <f>IF(P15&gt;1000,1,0)</f>
        <v>0</v>
      </c>
    </row>
    <row r="17" spans="1:17" x14ac:dyDescent="0.25">
      <c r="A17">
        <v>16</v>
      </c>
      <c r="B17">
        <v>284626</v>
      </c>
      <c r="C17">
        <v>305</v>
      </c>
      <c r="D17">
        <v>1</v>
      </c>
      <c r="E17">
        <v>7</v>
      </c>
      <c r="F17">
        <v>4</v>
      </c>
      <c r="G17">
        <v>0</v>
      </c>
      <c r="H17">
        <v>461</v>
      </c>
      <c r="I17">
        <v>1</v>
      </c>
      <c r="J17">
        <v>1</v>
      </c>
      <c r="L17">
        <f t="shared" si="0"/>
        <v>305</v>
      </c>
      <c r="M17" s="2">
        <f t="shared" si="1"/>
        <v>284.62599999999998</v>
      </c>
      <c r="O17">
        <f t="shared" si="2"/>
        <v>305</v>
      </c>
      <c r="P17" s="1">
        <f t="shared" si="3"/>
        <v>933.2</v>
      </c>
      <c r="Q17">
        <f>IF(P16&gt;1000,1,0)</f>
        <v>0</v>
      </c>
    </row>
    <row r="18" spans="1:17" x14ac:dyDescent="0.25">
      <c r="A18">
        <v>17</v>
      </c>
      <c r="B18">
        <v>95000</v>
      </c>
      <c r="C18">
        <v>161</v>
      </c>
      <c r="D18">
        <v>6</v>
      </c>
      <c r="E18">
        <v>3</v>
      </c>
      <c r="F18">
        <v>1</v>
      </c>
      <c r="G18">
        <v>0</v>
      </c>
      <c r="H18">
        <v>143</v>
      </c>
      <c r="I18">
        <v>0</v>
      </c>
      <c r="J18">
        <v>0</v>
      </c>
      <c r="L18">
        <f t="shared" si="0"/>
        <v>161</v>
      </c>
      <c r="M18" s="2">
        <f t="shared" si="1"/>
        <v>95</v>
      </c>
      <c r="O18">
        <f t="shared" si="2"/>
        <v>161</v>
      </c>
      <c r="P18" s="1">
        <f t="shared" si="3"/>
        <v>590.06211180124228</v>
      </c>
      <c r="Q18">
        <f>IF(P17&gt;1000,1,0)</f>
        <v>0</v>
      </c>
    </row>
    <row r="19" spans="1:17" x14ac:dyDescent="0.25">
      <c r="A19">
        <v>18</v>
      </c>
      <c r="B19">
        <v>200000</v>
      </c>
      <c r="C19">
        <v>277</v>
      </c>
      <c r="D19">
        <v>2</v>
      </c>
      <c r="E19">
        <v>8</v>
      </c>
      <c r="F19">
        <v>1</v>
      </c>
      <c r="G19">
        <v>0</v>
      </c>
      <c r="H19">
        <v>86</v>
      </c>
      <c r="I19">
        <v>0</v>
      </c>
      <c r="J19">
        <v>1</v>
      </c>
      <c r="L19">
        <f t="shared" si="0"/>
        <v>277</v>
      </c>
      <c r="M19" s="2">
        <f t="shared" si="1"/>
        <v>200</v>
      </c>
      <c r="O19">
        <f t="shared" si="2"/>
        <v>277</v>
      </c>
      <c r="P19" s="1">
        <f t="shared" si="3"/>
        <v>722.02166064981952</v>
      </c>
      <c r="Q19">
        <f>IF(P18&gt;1000,1,0)</f>
        <v>0</v>
      </c>
    </row>
    <row r="20" spans="1:17" x14ac:dyDescent="0.25">
      <c r="A20">
        <v>19</v>
      </c>
      <c r="B20">
        <v>120000</v>
      </c>
      <c r="C20">
        <v>157</v>
      </c>
      <c r="D20">
        <v>5</v>
      </c>
      <c r="E20">
        <v>10</v>
      </c>
      <c r="F20">
        <v>1</v>
      </c>
      <c r="G20">
        <v>0</v>
      </c>
      <c r="H20">
        <v>448</v>
      </c>
      <c r="I20">
        <v>0</v>
      </c>
      <c r="J20">
        <v>0</v>
      </c>
      <c r="L20">
        <f t="shared" si="0"/>
        <v>157</v>
      </c>
      <c r="M20" s="2">
        <f t="shared" si="1"/>
        <v>120</v>
      </c>
      <c r="O20">
        <f t="shared" si="2"/>
        <v>157</v>
      </c>
      <c r="P20" s="1">
        <f t="shared" si="3"/>
        <v>764.33121019108285</v>
      </c>
      <c r="Q20">
        <f>IF(P19&gt;1000,1,0)</f>
        <v>0</v>
      </c>
    </row>
    <row r="21" spans="1:17" x14ac:dyDescent="0.25">
      <c r="A21">
        <v>20</v>
      </c>
      <c r="B21">
        <v>130000</v>
      </c>
      <c r="C21">
        <v>156</v>
      </c>
      <c r="D21">
        <v>5</v>
      </c>
      <c r="E21">
        <v>6</v>
      </c>
      <c r="F21">
        <v>1</v>
      </c>
      <c r="G21">
        <v>0</v>
      </c>
      <c r="H21">
        <v>502</v>
      </c>
      <c r="I21">
        <v>1</v>
      </c>
      <c r="J21">
        <v>0</v>
      </c>
      <c r="L21">
        <f t="shared" si="0"/>
        <v>156</v>
      </c>
      <c r="M21" s="2">
        <f t="shared" si="1"/>
        <v>130</v>
      </c>
      <c r="O21">
        <f t="shared" si="2"/>
        <v>156</v>
      </c>
      <c r="P21" s="1">
        <f t="shared" si="3"/>
        <v>833.33333333333337</v>
      </c>
      <c r="Q21">
        <f>IF(P20&gt;1000,1,0)</f>
        <v>0</v>
      </c>
    </row>
    <row r="22" spans="1:17" x14ac:dyDescent="0.25">
      <c r="A22">
        <v>21</v>
      </c>
      <c r="B22">
        <v>145000</v>
      </c>
      <c r="C22">
        <v>162</v>
      </c>
      <c r="D22">
        <v>1</v>
      </c>
      <c r="E22">
        <v>8</v>
      </c>
      <c r="F22">
        <v>1</v>
      </c>
      <c r="G22">
        <v>0</v>
      </c>
      <c r="H22">
        <v>903</v>
      </c>
      <c r="I22">
        <v>1</v>
      </c>
      <c r="J22">
        <v>1</v>
      </c>
      <c r="L22">
        <f t="shared" si="0"/>
        <v>162</v>
      </c>
      <c r="M22" s="2">
        <f t="shared" si="1"/>
        <v>145</v>
      </c>
      <c r="O22">
        <f t="shared" si="2"/>
        <v>162</v>
      </c>
      <c r="P22" s="1">
        <f t="shared" si="3"/>
        <v>895.06172839506178</v>
      </c>
      <c r="Q22">
        <f>IF(P21&gt;1000,1,0)</f>
        <v>0</v>
      </c>
    </row>
    <row r="23" spans="1:17" x14ac:dyDescent="0.25">
      <c r="A23">
        <v>22</v>
      </c>
      <c r="B23">
        <v>85000</v>
      </c>
      <c r="C23">
        <v>180</v>
      </c>
      <c r="D23">
        <v>1</v>
      </c>
      <c r="E23">
        <v>1</v>
      </c>
      <c r="F23">
        <v>1</v>
      </c>
      <c r="G23">
        <v>0</v>
      </c>
      <c r="H23">
        <v>275</v>
      </c>
      <c r="I23">
        <v>0</v>
      </c>
      <c r="J23">
        <v>0</v>
      </c>
      <c r="L23">
        <f t="shared" si="0"/>
        <v>180</v>
      </c>
      <c r="M23" s="2">
        <f t="shared" si="1"/>
        <v>85</v>
      </c>
      <c r="O23">
        <f t="shared" si="2"/>
        <v>180</v>
      </c>
      <c r="P23" s="1">
        <f t="shared" si="3"/>
        <v>472.22222222222223</v>
      </c>
      <c r="Q23">
        <f>IF(P22&gt;1000,1,0)</f>
        <v>0</v>
      </c>
    </row>
    <row r="24" spans="1:17" x14ac:dyDescent="0.25">
      <c r="A24">
        <v>23</v>
      </c>
      <c r="B24">
        <v>104000</v>
      </c>
      <c r="C24">
        <v>130</v>
      </c>
      <c r="D24">
        <v>1</v>
      </c>
      <c r="E24">
        <v>6</v>
      </c>
      <c r="F24">
        <v>1</v>
      </c>
      <c r="G24">
        <v>0</v>
      </c>
      <c r="H24">
        <v>1056</v>
      </c>
      <c r="I24">
        <v>0</v>
      </c>
      <c r="J24">
        <v>0</v>
      </c>
      <c r="L24">
        <f t="shared" si="0"/>
        <v>130</v>
      </c>
      <c r="M24" s="2">
        <f t="shared" si="1"/>
        <v>104</v>
      </c>
      <c r="O24">
        <f t="shared" si="2"/>
        <v>130</v>
      </c>
      <c r="P24" s="1">
        <f t="shared" si="3"/>
        <v>800</v>
      </c>
      <c r="Q24">
        <f>IF(P23&gt;1000,1,0)</f>
        <v>0</v>
      </c>
    </row>
    <row r="25" spans="1:17" x14ac:dyDescent="0.25">
      <c r="A25">
        <v>24</v>
      </c>
      <c r="B25">
        <v>85000</v>
      </c>
      <c r="C25">
        <v>130</v>
      </c>
      <c r="D25">
        <v>1</v>
      </c>
      <c r="E25">
        <v>6</v>
      </c>
      <c r="F25">
        <v>0</v>
      </c>
      <c r="G25">
        <v>0</v>
      </c>
      <c r="H25">
        <v>780</v>
      </c>
      <c r="I25">
        <v>0</v>
      </c>
      <c r="J25">
        <v>0</v>
      </c>
      <c r="L25">
        <f t="shared" si="0"/>
        <v>130</v>
      </c>
      <c r="M25" s="2">
        <f t="shared" si="1"/>
        <v>85</v>
      </c>
      <c r="O25">
        <f t="shared" si="2"/>
        <v>130</v>
      </c>
      <c r="P25" s="1">
        <f t="shared" si="3"/>
        <v>653.84615384615381</v>
      </c>
      <c r="Q25">
        <f>IF(P24&gt;1000,1,0)</f>
        <v>0</v>
      </c>
    </row>
    <row r="26" spans="1:17" x14ac:dyDescent="0.25">
      <c r="A26">
        <v>25</v>
      </c>
      <c r="B26">
        <v>150000</v>
      </c>
      <c r="C26">
        <v>175</v>
      </c>
      <c r="D26">
        <v>1</v>
      </c>
      <c r="E26">
        <v>12</v>
      </c>
      <c r="F26">
        <v>1</v>
      </c>
      <c r="G26">
        <v>0</v>
      </c>
      <c r="H26">
        <v>917</v>
      </c>
      <c r="I26">
        <v>1</v>
      </c>
      <c r="J26">
        <v>1</v>
      </c>
      <c r="L26">
        <f t="shared" si="0"/>
        <v>175</v>
      </c>
      <c r="M26" s="2">
        <f t="shared" si="1"/>
        <v>150</v>
      </c>
      <c r="O26">
        <f t="shared" si="2"/>
        <v>175</v>
      </c>
      <c r="P26" s="1">
        <f t="shared" si="3"/>
        <v>857.14285714285711</v>
      </c>
      <c r="Q26">
        <f>IF(P25&gt;1000,1,0)</f>
        <v>0</v>
      </c>
    </row>
    <row r="27" spans="1:17" x14ac:dyDescent="0.25">
      <c r="A27">
        <v>26</v>
      </c>
      <c r="B27">
        <v>110000</v>
      </c>
      <c r="C27">
        <v>161</v>
      </c>
      <c r="D27">
        <v>1</v>
      </c>
      <c r="E27">
        <v>5</v>
      </c>
      <c r="F27">
        <v>1</v>
      </c>
      <c r="G27">
        <v>0</v>
      </c>
      <c r="H27">
        <v>540</v>
      </c>
      <c r="I27">
        <v>1</v>
      </c>
      <c r="J27">
        <v>0</v>
      </c>
      <c r="L27">
        <f t="shared" si="0"/>
        <v>161</v>
      </c>
      <c r="M27" s="2">
        <f t="shared" si="1"/>
        <v>110</v>
      </c>
      <c r="O27">
        <f t="shared" si="2"/>
        <v>161</v>
      </c>
      <c r="P27" s="1">
        <f t="shared" si="3"/>
        <v>683.22981366459624</v>
      </c>
      <c r="Q27">
        <f>IF(P26&gt;1000,1,0)</f>
        <v>0</v>
      </c>
    </row>
    <row r="28" spans="1:17" x14ac:dyDescent="0.25">
      <c r="A28">
        <v>27</v>
      </c>
      <c r="B28">
        <v>120000</v>
      </c>
      <c r="C28">
        <v>161</v>
      </c>
      <c r="D28">
        <v>1</v>
      </c>
      <c r="E28">
        <v>7</v>
      </c>
      <c r="F28">
        <v>1</v>
      </c>
      <c r="G28">
        <v>0</v>
      </c>
      <c r="H28">
        <v>540</v>
      </c>
      <c r="I28">
        <v>1</v>
      </c>
      <c r="J28">
        <v>0</v>
      </c>
      <c r="L28">
        <f t="shared" si="0"/>
        <v>161</v>
      </c>
      <c r="M28" s="2">
        <f t="shared" si="1"/>
        <v>120</v>
      </c>
      <c r="O28">
        <f t="shared" si="2"/>
        <v>161</v>
      </c>
      <c r="P28" s="1">
        <f t="shared" si="3"/>
        <v>745.34161490683232</v>
      </c>
      <c r="Q28">
        <f>IF(P27&gt;1000,1,0)</f>
        <v>0</v>
      </c>
    </row>
    <row r="29" spans="1:17" x14ac:dyDescent="0.25">
      <c r="A29">
        <v>28</v>
      </c>
      <c r="B29">
        <v>88000</v>
      </c>
      <c r="C29">
        <v>135</v>
      </c>
      <c r="D29">
        <v>6</v>
      </c>
      <c r="E29">
        <v>2</v>
      </c>
      <c r="F29">
        <v>0</v>
      </c>
      <c r="G29">
        <v>0</v>
      </c>
      <c r="H29">
        <v>290</v>
      </c>
      <c r="I29">
        <v>1</v>
      </c>
      <c r="J29">
        <v>0</v>
      </c>
      <c r="L29">
        <f t="shared" si="0"/>
        <v>135</v>
      </c>
      <c r="M29" s="2">
        <f t="shared" si="1"/>
        <v>88</v>
      </c>
      <c r="O29">
        <f t="shared" si="2"/>
        <v>135</v>
      </c>
      <c r="P29" s="1">
        <f t="shared" si="3"/>
        <v>651.85185185185185</v>
      </c>
      <c r="Q29">
        <f>IF(P28&gt;1000,1,0)</f>
        <v>0</v>
      </c>
    </row>
    <row r="30" spans="1:17" x14ac:dyDescent="0.25">
      <c r="A30">
        <v>29</v>
      </c>
      <c r="B30">
        <v>115000</v>
      </c>
      <c r="C30">
        <v>140</v>
      </c>
      <c r="D30">
        <v>5</v>
      </c>
      <c r="E30">
        <v>2</v>
      </c>
      <c r="F30">
        <v>1</v>
      </c>
      <c r="G30">
        <v>0</v>
      </c>
      <c r="H30">
        <v>174</v>
      </c>
      <c r="I30">
        <v>1</v>
      </c>
      <c r="J30">
        <v>0</v>
      </c>
      <c r="L30">
        <f t="shared" si="0"/>
        <v>140</v>
      </c>
      <c r="M30" s="2">
        <f t="shared" si="1"/>
        <v>115</v>
      </c>
      <c r="O30">
        <f t="shared" si="2"/>
        <v>140</v>
      </c>
      <c r="P30" s="1">
        <f t="shared" si="3"/>
        <v>821.42857142857144</v>
      </c>
      <c r="Q30">
        <f>IF(P29&gt;1000,1,0)</f>
        <v>0</v>
      </c>
    </row>
    <row r="31" spans="1:17" x14ac:dyDescent="0.25">
      <c r="A31">
        <v>30</v>
      </c>
      <c r="B31">
        <v>105000</v>
      </c>
      <c r="C31">
        <v>150</v>
      </c>
      <c r="D31">
        <v>2</v>
      </c>
      <c r="E31">
        <v>2</v>
      </c>
      <c r="F31">
        <v>1</v>
      </c>
      <c r="G31">
        <v>0</v>
      </c>
      <c r="H31">
        <v>115</v>
      </c>
      <c r="I31">
        <v>0</v>
      </c>
      <c r="J31">
        <v>0</v>
      </c>
      <c r="L31">
        <f t="shared" si="0"/>
        <v>150</v>
      </c>
      <c r="M31" s="2">
        <f t="shared" si="1"/>
        <v>105</v>
      </c>
      <c r="O31">
        <f t="shared" si="2"/>
        <v>150</v>
      </c>
      <c r="P31" s="1">
        <f t="shared" si="3"/>
        <v>700</v>
      </c>
      <c r="Q31">
        <f>IF(P30&gt;1000,1,0)</f>
        <v>0</v>
      </c>
    </row>
    <row r="32" spans="1:17" x14ac:dyDescent="0.25">
      <c r="A32">
        <v>31</v>
      </c>
      <c r="B32">
        <v>195000</v>
      </c>
      <c r="C32">
        <v>210</v>
      </c>
      <c r="D32">
        <v>1</v>
      </c>
      <c r="E32">
        <v>6</v>
      </c>
      <c r="F32">
        <v>2</v>
      </c>
      <c r="G32">
        <v>0</v>
      </c>
      <c r="H32">
        <v>479</v>
      </c>
      <c r="I32">
        <v>1</v>
      </c>
      <c r="J32">
        <v>1</v>
      </c>
      <c r="L32">
        <f t="shared" si="0"/>
        <v>210</v>
      </c>
      <c r="M32" s="2">
        <f t="shared" si="1"/>
        <v>195</v>
      </c>
      <c r="O32">
        <f t="shared" si="2"/>
        <v>210</v>
      </c>
      <c r="P32" s="1">
        <f t="shared" si="3"/>
        <v>928.57142857142856</v>
      </c>
      <c r="Q32">
        <f>IF(P31&gt;1000,1,0)</f>
        <v>0</v>
      </c>
    </row>
    <row r="33" spans="1:17" x14ac:dyDescent="0.25">
      <c r="A33">
        <v>32</v>
      </c>
      <c r="B33">
        <v>180000</v>
      </c>
      <c r="C33">
        <v>192</v>
      </c>
      <c r="D33">
        <v>1</v>
      </c>
      <c r="E33">
        <v>6</v>
      </c>
      <c r="F33">
        <v>3</v>
      </c>
      <c r="G33">
        <v>0</v>
      </c>
      <c r="H33">
        <v>479</v>
      </c>
      <c r="I33">
        <v>1</v>
      </c>
      <c r="J33">
        <v>1</v>
      </c>
      <c r="L33">
        <f t="shared" si="0"/>
        <v>192</v>
      </c>
      <c r="M33" s="2">
        <f t="shared" si="1"/>
        <v>180</v>
      </c>
      <c r="O33">
        <f t="shared" si="2"/>
        <v>192</v>
      </c>
      <c r="P33" s="1">
        <f t="shared" si="3"/>
        <v>937.5</v>
      </c>
      <c r="Q33">
        <f>IF(P32&gt;1000,1,0)</f>
        <v>0</v>
      </c>
    </row>
    <row r="34" spans="1:17" x14ac:dyDescent="0.25">
      <c r="A34">
        <v>33</v>
      </c>
      <c r="B34">
        <v>135000</v>
      </c>
      <c r="C34">
        <v>200</v>
      </c>
      <c r="D34">
        <v>17</v>
      </c>
      <c r="E34">
        <v>3</v>
      </c>
      <c r="F34">
        <v>1</v>
      </c>
      <c r="G34">
        <v>0</v>
      </c>
      <c r="H34">
        <v>252</v>
      </c>
      <c r="I34">
        <v>0</v>
      </c>
      <c r="J34">
        <v>0</v>
      </c>
      <c r="L34">
        <f t="shared" si="0"/>
        <v>200</v>
      </c>
      <c r="M34" s="2">
        <f t="shared" si="1"/>
        <v>135</v>
      </c>
      <c r="O34">
        <f t="shared" si="2"/>
        <v>200</v>
      </c>
      <c r="P34" s="1">
        <f t="shared" si="3"/>
        <v>675</v>
      </c>
      <c r="Q34">
        <f>IF(P33&gt;1000,1,0)</f>
        <v>0</v>
      </c>
    </row>
    <row r="35" spans="1:17" x14ac:dyDescent="0.25">
      <c r="A35">
        <v>34</v>
      </c>
      <c r="B35">
        <v>185000</v>
      </c>
      <c r="C35">
        <v>251</v>
      </c>
      <c r="D35">
        <v>19</v>
      </c>
      <c r="E35">
        <v>6</v>
      </c>
      <c r="F35">
        <v>1</v>
      </c>
      <c r="G35">
        <v>0</v>
      </c>
      <c r="H35">
        <v>1549</v>
      </c>
      <c r="I35">
        <v>1</v>
      </c>
      <c r="J35">
        <v>0</v>
      </c>
      <c r="L35">
        <f t="shared" si="0"/>
        <v>251</v>
      </c>
      <c r="M35" s="2">
        <f t="shared" si="1"/>
        <v>185</v>
      </c>
      <c r="O35">
        <f t="shared" si="2"/>
        <v>251</v>
      </c>
      <c r="P35" s="1">
        <f t="shared" si="3"/>
        <v>737.05179282868528</v>
      </c>
      <c r="Q35">
        <f>IF(P34&gt;1000,1,0)</f>
        <v>0</v>
      </c>
    </row>
    <row r="36" spans="1:17" x14ac:dyDescent="0.25">
      <c r="A36">
        <v>35</v>
      </c>
      <c r="B36">
        <v>190000</v>
      </c>
      <c r="C36">
        <v>260</v>
      </c>
      <c r="D36">
        <v>6</v>
      </c>
      <c r="E36">
        <v>3</v>
      </c>
      <c r="F36">
        <v>1</v>
      </c>
      <c r="G36">
        <v>0</v>
      </c>
      <c r="H36">
        <v>582</v>
      </c>
      <c r="I36">
        <v>1</v>
      </c>
      <c r="J36">
        <v>0</v>
      </c>
      <c r="L36">
        <f t="shared" si="0"/>
        <v>260</v>
      </c>
      <c r="M36" s="2">
        <f t="shared" si="1"/>
        <v>190</v>
      </c>
      <c r="O36">
        <f t="shared" si="2"/>
        <v>260</v>
      </c>
      <c r="P36" s="1">
        <f t="shared" si="3"/>
        <v>730.76923076923072</v>
      </c>
      <c r="Q36">
        <f>IF(P35&gt;1000,1,0)</f>
        <v>0</v>
      </c>
    </row>
    <row r="37" spans="1:17" x14ac:dyDescent="0.25">
      <c r="A37">
        <v>36</v>
      </c>
      <c r="B37">
        <v>95000</v>
      </c>
      <c r="C37">
        <v>192</v>
      </c>
      <c r="D37">
        <v>15</v>
      </c>
      <c r="E37">
        <v>1</v>
      </c>
      <c r="F37">
        <v>1</v>
      </c>
      <c r="G37">
        <v>0</v>
      </c>
      <c r="H37">
        <v>92</v>
      </c>
      <c r="I37">
        <v>0</v>
      </c>
      <c r="J37">
        <v>0</v>
      </c>
      <c r="L37">
        <f t="shared" si="0"/>
        <v>192</v>
      </c>
      <c r="M37" s="2">
        <f t="shared" si="1"/>
        <v>95</v>
      </c>
      <c r="O37">
        <f t="shared" si="2"/>
        <v>192</v>
      </c>
      <c r="P37" s="1">
        <f t="shared" si="3"/>
        <v>494.79166666666669</v>
      </c>
      <c r="Q37">
        <f>IF(P36&gt;1000,1,0)</f>
        <v>0</v>
      </c>
    </row>
    <row r="38" spans="1:17" x14ac:dyDescent="0.25">
      <c r="A38">
        <v>37</v>
      </c>
      <c r="B38">
        <v>80000</v>
      </c>
      <c r="C38">
        <v>115</v>
      </c>
      <c r="D38">
        <v>18</v>
      </c>
      <c r="E38">
        <v>2</v>
      </c>
      <c r="F38">
        <v>0</v>
      </c>
      <c r="G38">
        <v>0</v>
      </c>
      <c r="H38">
        <v>370</v>
      </c>
      <c r="I38">
        <v>1</v>
      </c>
      <c r="J38">
        <v>1</v>
      </c>
      <c r="L38">
        <f t="shared" si="0"/>
        <v>115</v>
      </c>
      <c r="M38" s="2">
        <f t="shared" si="1"/>
        <v>80</v>
      </c>
      <c r="O38">
        <f t="shared" si="2"/>
        <v>115</v>
      </c>
      <c r="P38" s="1">
        <f t="shared" si="3"/>
        <v>695.6521739130435</v>
      </c>
      <c r="Q38">
        <f>IF(P37&gt;1000,1,0)</f>
        <v>0</v>
      </c>
    </row>
    <row r="39" spans="1:17" x14ac:dyDescent="0.25">
      <c r="A39">
        <v>38</v>
      </c>
      <c r="B39">
        <v>240000</v>
      </c>
      <c r="C39">
        <v>370</v>
      </c>
      <c r="D39">
        <v>12</v>
      </c>
      <c r="E39">
        <v>2</v>
      </c>
      <c r="F39">
        <v>3</v>
      </c>
      <c r="G39">
        <v>0</v>
      </c>
      <c r="H39">
        <v>155</v>
      </c>
      <c r="I39">
        <v>0</v>
      </c>
      <c r="J39">
        <v>0</v>
      </c>
      <c r="L39">
        <f t="shared" si="0"/>
        <v>370</v>
      </c>
      <c r="M39" s="2">
        <f t="shared" si="1"/>
        <v>240</v>
      </c>
      <c r="O39">
        <f t="shared" si="2"/>
        <v>370</v>
      </c>
      <c r="P39" s="1">
        <f t="shared" si="3"/>
        <v>648.64864864864865</v>
      </c>
      <c r="Q39">
        <f>IF(P38&gt;1000,1,0)</f>
        <v>0</v>
      </c>
    </row>
    <row r="40" spans="1:17" x14ac:dyDescent="0.25">
      <c r="A40">
        <v>39</v>
      </c>
      <c r="B40">
        <v>50000</v>
      </c>
      <c r="C40">
        <v>105</v>
      </c>
      <c r="D40">
        <v>18</v>
      </c>
      <c r="E40">
        <v>1</v>
      </c>
      <c r="F40">
        <v>0</v>
      </c>
      <c r="G40">
        <v>0</v>
      </c>
      <c r="H40">
        <v>438</v>
      </c>
      <c r="I40">
        <v>1</v>
      </c>
      <c r="J40">
        <v>0</v>
      </c>
      <c r="L40">
        <f t="shared" si="0"/>
        <v>105</v>
      </c>
      <c r="M40" s="2">
        <f t="shared" si="1"/>
        <v>50</v>
      </c>
      <c r="O40">
        <f t="shared" si="2"/>
        <v>105</v>
      </c>
      <c r="P40" s="1">
        <f t="shared" si="3"/>
        <v>476.1904761904762</v>
      </c>
      <c r="Q40">
        <f>IF(P39&gt;1000,1,0)</f>
        <v>0</v>
      </c>
    </row>
    <row r="41" spans="1:17" x14ac:dyDescent="0.25">
      <c r="A41">
        <v>40</v>
      </c>
      <c r="B41">
        <v>90000</v>
      </c>
      <c r="C41">
        <v>171</v>
      </c>
      <c r="D41">
        <v>15</v>
      </c>
      <c r="E41">
        <v>1</v>
      </c>
      <c r="F41">
        <v>0</v>
      </c>
      <c r="G41">
        <v>0</v>
      </c>
      <c r="H41">
        <v>748</v>
      </c>
      <c r="I41">
        <v>1</v>
      </c>
      <c r="J41">
        <v>1</v>
      </c>
      <c r="L41">
        <f t="shared" si="0"/>
        <v>171</v>
      </c>
      <c r="M41" s="2">
        <f t="shared" si="1"/>
        <v>90</v>
      </c>
      <c r="O41">
        <f t="shared" si="2"/>
        <v>171</v>
      </c>
      <c r="P41" s="1">
        <f t="shared" si="3"/>
        <v>526.31578947368416</v>
      </c>
      <c r="Q41">
        <f>IF(P40&gt;1000,1,0)</f>
        <v>0</v>
      </c>
    </row>
    <row r="42" spans="1:17" x14ac:dyDescent="0.25">
      <c r="A42">
        <v>41</v>
      </c>
      <c r="B42">
        <v>110000</v>
      </c>
      <c r="C42">
        <v>173</v>
      </c>
      <c r="D42">
        <v>12</v>
      </c>
      <c r="E42">
        <v>2</v>
      </c>
      <c r="F42">
        <v>1</v>
      </c>
      <c r="G42">
        <v>0</v>
      </c>
      <c r="H42">
        <v>373</v>
      </c>
      <c r="I42">
        <v>1</v>
      </c>
      <c r="J42">
        <v>1</v>
      </c>
      <c r="L42">
        <f t="shared" si="0"/>
        <v>173</v>
      </c>
      <c r="M42" s="2">
        <f t="shared" si="1"/>
        <v>110</v>
      </c>
      <c r="O42">
        <f t="shared" si="2"/>
        <v>173</v>
      </c>
      <c r="P42" s="1">
        <f t="shared" si="3"/>
        <v>635.83815028901734</v>
      </c>
      <c r="Q42">
        <f>IF(P41&gt;1000,1,0)</f>
        <v>0</v>
      </c>
    </row>
    <row r="43" spans="1:17" x14ac:dyDescent="0.25">
      <c r="A43">
        <v>42</v>
      </c>
      <c r="B43">
        <v>124972</v>
      </c>
      <c r="C43">
        <v>180</v>
      </c>
      <c r="D43">
        <v>1</v>
      </c>
      <c r="E43">
        <v>7</v>
      </c>
      <c r="F43">
        <v>1</v>
      </c>
      <c r="G43">
        <v>0</v>
      </c>
      <c r="H43">
        <v>275</v>
      </c>
      <c r="I43">
        <v>0</v>
      </c>
      <c r="J43">
        <v>0</v>
      </c>
      <c r="L43">
        <f t="shared" si="0"/>
        <v>180</v>
      </c>
      <c r="M43" s="2">
        <f t="shared" si="1"/>
        <v>124.97199999999999</v>
      </c>
      <c r="O43">
        <f t="shared" si="2"/>
        <v>180</v>
      </c>
      <c r="P43" s="1">
        <f t="shared" si="3"/>
        <v>694.28888888888889</v>
      </c>
      <c r="Q43">
        <f>IF(P42&gt;1000,1,0)</f>
        <v>0</v>
      </c>
    </row>
    <row r="44" spans="1:17" x14ac:dyDescent="0.25">
      <c r="A44">
        <v>43</v>
      </c>
      <c r="B44">
        <v>90000</v>
      </c>
      <c r="C44">
        <v>160</v>
      </c>
      <c r="D44">
        <v>15</v>
      </c>
      <c r="E44">
        <v>9</v>
      </c>
      <c r="F44">
        <v>1</v>
      </c>
      <c r="G44">
        <v>0</v>
      </c>
      <c r="H44">
        <v>143</v>
      </c>
      <c r="I44">
        <v>0</v>
      </c>
      <c r="J44">
        <v>0</v>
      </c>
      <c r="L44">
        <f t="shared" si="0"/>
        <v>160</v>
      </c>
      <c r="M44" s="2">
        <f t="shared" si="1"/>
        <v>90</v>
      </c>
      <c r="O44">
        <f t="shared" si="2"/>
        <v>160</v>
      </c>
      <c r="P44" s="1">
        <f t="shared" si="3"/>
        <v>562.5</v>
      </c>
      <c r="Q44">
        <f>IF(P43&gt;1000,1,0)</f>
        <v>0</v>
      </c>
    </row>
    <row r="45" spans="1:17" x14ac:dyDescent="0.25">
      <c r="A45">
        <v>44</v>
      </c>
      <c r="B45">
        <v>128000</v>
      </c>
      <c r="C45">
        <v>110</v>
      </c>
      <c r="D45">
        <v>1</v>
      </c>
      <c r="E45">
        <v>4</v>
      </c>
      <c r="F45">
        <v>1</v>
      </c>
      <c r="G45">
        <v>1</v>
      </c>
      <c r="H45">
        <v>250</v>
      </c>
      <c r="I45">
        <v>1</v>
      </c>
      <c r="J45">
        <v>0</v>
      </c>
      <c r="L45">
        <f t="shared" si="0"/>
        <v>110</v>
      </c>
      <c r="M45" s="2">
        <f t="shared" si="1"/>
        <v>128</v>
      </c>
      <c r="O45">
        <f t="shared" si="2"/>
        <v>110</v>
      </c>
      <c r="P45" s="1">
        <f t="shared" si="3"/>
        <v>1163.6363636363637</v>
      </c>
      <c r="Q45">
        <f>IF(P44&gt;1000,1,0)</f>
        <v>0</v>
      </c>
    </row>
    <row r="46" spans="1:17" x14ac:dyDescent="0.25">
      <c r="A46">
        <v>45</v>
      </c>
      <c r="B46">
        <v>53600</v>
      </c>
      <c r="C46">
        <v>84</v>
      </c>
      <c r="D46">
        <v>1</v>
      </c>
      <c r="E46">
        <v>5</v>
      </c>
      <c r="F46">
        <v>0</v>
      </c>
      <c r="G46">
        <v>0</v>
      </c>
      <c r="H46">
        <v>1280</v>
      </c>
      <c r="I46">
        <v>1</v>
      </c>
      <c r="J46">
        <v>0</v>
      </c>
      <c r="L46">
        <f t="shared" si="0"/>
        <v>84</v>
      </c>
      <c r="M46" s="2">
        <f t="shared" si="1"/>
        <v>53.6</v>
      </c>
      <c r="O46">
        <f t="shared" si="2"/>
        <v>84</v>
      </c>
      <c r="P46" s="1">
        <f t="shared" si="3"/>
        <v>638.09523809523807</v>
      </c>
      <c r="Q46">
        <f>IF(P45&gt;1000,1,0)</f>
        <v>1</v>
      </c>
    </row>
    <row r="47" spans="1:17" x14ac:dyDescent="0.25">
      <c r="A47">
        <v>46</v>
      </c>
      <c r="B47">
        <v>152000</v>
      </c>
      <c r="C47">
        <v>142</v>
      </c>
      <c r="D47">
        <v>1</v>
      </c>
      <c r="E47">
        <v>6</v>
      </c>
      <c r="F47">
        <v>1</v>
      </c>
      <c r="G47">
        <v>0</v>
      </c>
      <c r="H47">
        <v>214</v>
      </c>
      <c r="I47">
        <v>0</v>
      </c>
      <c r="J47">
        <v>1</v>
      </c>
      <c r="L47">
        <f t="shared" si="0"/>
        <v>142</v>
      </c>
      <c r="M47" s="2">
        <f t="shared" si="1"/>
        <v>152</v>
      </c>
      <c r="O47">
        <f t="shared" si="2"/>
        <v>142</v>
      </c>
      <c r="P47" s="1">
        <f t="shared" si="3"/>
        <v>1070.4225352112676</v>
      </c>
      <c r="Q47">
        <f>IF(P46&gt;1000,1,0)</f>
        <v>0</v>
      </c>
    </row>
    <row r="48" spans="1:17" x14ac:dyDescent="0.25">
      <c r="A48">
        <v>47</v>
      </c>
      <c r="B48">
        <v>88000</v>
      </c>
      <c r="C48">
        <v>117</v>
      </c>
      <c r="D48">
        <v>10</v>
      </c>
      <c r="E48">
        <v>3</v>
      </c>
      <c r="F48">
        <v>1</v>
      </c>
      <c r="G48">
        <v>0</v>
      </c>
      <c r="H48">
        <v>209</v>
      </c>
      <c r="I48">
        <v>0</v>
      </c>
      <c r="J48">
        <v>0</v>
      </c>
      <c r="L48">
        <f t="shared" si="0"/>
        <v>117</v>
      </c>
      <c r="M48" s="2">
        <f t="shared" si="1"/>
        <v>88</v>
      </c>
      <c r="O48">
        <f t="shared" si="2"/>
        <v>117</v>
      </c>
      <c r="P48" s="1">
        <f t="shared" si="3"/>
        <v>752.13675213675219</v>
      </c>
      <c r="Q48">
        <f>IF(P47&gt;1000,1,0)</f>
        <v>1</v>
      </c>
    </row>
    <row r="49" spans="1:17" x14ac:dyDescent="0.25">
      <c r="A49">
        <v>48</v>
      </c>
      <c r="B49">
        <v>56000</v>
      </c>
      <c r="C49">
        <v>78</v>
      </c>
      <c r="D49">
        <v>12</v>
      </c>
      <c r="E49">
        <v>3</v>
      </c>
      <c r="F49">
        <v>1</v>
      </c>
      <c r="G49">
        <v>0</v>
      </c>
      <c r="H49">
        <v>813</v>
      </c>
      <c r="I49">
        <v>1</v>
      </c>
      <c r="J49">
        <v>0</v>
      </c>
      <c r="L49">
        <f t="shared" si="0"/>
        <v>78</v>
      </c>
      <c r="M49" s="2">
        <f t="shared" si="1"/>
        <v>56</v>
      </c>
      <c r="O49">
        <f t="shared" si="2"/>
        <v>78</v>
      </c>
      <c r="P49" s="1">
        <f t="shared" si="3"/>
        <v>717.9487179487179</v>
      </c>
      <c r="Q49">
        <f>IF(P48&gt;1000,1,0)</f>
        <v>0</v>
      </c>
    </row>
    <row r="50" spans="1:17" x14ac:dyDescent="0.25">
      <c r="A50">
        <v>49</v>
      </c>
      <c r="B50">
        <v>60000</v>
      </c>
      <c r="C50">
        <v>104</v>
      </c>
      <c r="D50">
        <v>15</v>
      </c>
      <c r="E50">
        <v>2</v>
      </c>
      <c r="F50">
        <v>0</v>
      </c>
      <c r="G50">
        <v>1</v>
      </c>
      <c r="H50">
        <v>73</v>
      </c>
      <c r="I50">
        <v>0</v>
      </c>
      <c r="J50">
        <v>1</v>
      </c>
      <c r="L50">
        <f t="shared" si="0"/>
        <v>104</v>
      </c>
      <c r="M50" s="2">
        <f t="shared" si="1"/>
        <v>60</v>
      </c>
      <c r="O50">
        <f t="shared" si="2"/>
        <v>104</v>
      </c>
      <c r="P50" s="1">
        <f t="shared" si="3"/>
        <v>576.92307692307691</v>
      </c>
      <c r="Q50">
        <f>IF(P49&gt;1000,1,0)</f>
        <v>0</v>
      </c>
    </row>
    <row r="51" spans="1:17" x14ac:dyDescent="0.25">
      <c r="A51">
        <v>50</v>
      </c>
      <c r="B51">
        <v>76000</v>
      </c>
      <c r="C51">
        <v>101</v>
      </c>
      <c r="D51">
        <v>4</v>
      </c>
      <c r="E51">
        <v>3</v>
      </c>
      <c r="F51">
        <v>1</v>
      </c>
      <c r="G51">
        <v>0</v>
      </c>
      <c r="H51">
        <v>1191</v>
      </c>
      <c r="I51">
        <v>1</v>
      </c>
      <c r="J51">
        <v>0</v>
      </c>
      <c r="L51">
        <f t="shared" si="0"/>
        <v>101</v>
      </c>
      <c r="M51" s="2">
        <f t="shared" si="1"/>
        <v>76</v>
      </c>
      <c r="O51">
        <f t="shared" si="2"/>
        <v>101</v>
      </c>
      <c r="P51" s="1">
        <f t="shared" si="3"/>
        <v>752.47524752475249</v>
      </c>
      <c r="Q51">
        <f>IF(P50&gt;1000,1,0)</f>
        <v>0</v>
      </c>
    </row>
    <row r="52" spans="1:17" x14ac:dyDescent="0.25">
      <c r="A52">
        <v>51</v>
      </c>
      <c r="B52">
        <v>108000</v>
      </c>
      <c r="C52">
        <v>108</v>
      </c>
      <c r="D52">
        <v>1</v>
      </c>
      <c r="E52">
        <v>2</v>
      </c>
      <c r="F52">
        <v>1</v>
      </c>
      <c r="G52">
        <v>1</v>
      </c>
      <c r="H52">
        <v>126</v>
      </c>
      <c r="I52">
        <v>0</v>
      </c>
      <c r="J52">
        <v>1</v>
      </c>
      <c r="L52">
        <f t="shared" si="0"/>
        <v>108</v>
      </c>
      <c r="M52" s="2">
        <f t="shared" si="1"/>
        <v>108</v>
      </c>
      <c r="O52">
        <f t="shared" si="2"/>
        <v>108</v>
      </c>
      <c r="P52" s="1">
        <f t="shared" si="3"/>
        <v>1000</v>
      </c>
      <c r="Q52">
        <f>IF(P51&gt;1000,1,0)</f>
        <v>0</v>
      </c>
    </row>
    <row r="53" spans="1:17" x14ac:dyDescent="0.25">
      <c r="A53">
        <v>52</v>
      </c>
      <c r="B53">
        <v>88000</v>
      </c>
      <c r="C53">
        <v>98</v>
      </c>
      <c r="D53">
        <v>8</v>
      </c>
      <c r="E53">
        <v>3</v>
      </c>
      <c r="F53">
        <v>1</v>
      </c>
      <c r="G53">
        <v>0</v>
      </c>
      <c r="H53">
        <v>122</v>
      </c>
      <c r="I53">
        <v>0</v>
      </c>
      <c r="J53">
        <v>0</v>
      </c>
      <c r="L53">
        <f t="shared" si="0"/>
        <v>98</v>
      </c>
      <c r="M53" s="2">
        <f t="shared" si="1"/>
        <v>88</v>
      </c>
      <c r="O53">
        <f t="shared" si="2"/>
        <v>98</v>
      </c>
      <c r="P53" s="1">
        <f t="shared" si="3"/>
        <v>897.9591836734694</v>
      </c>
      <c r="Q53">
        <f>IF(P52&gt;1000,1,0)</f>
        <v>0</v>
      </c>
    </row>
    <row r="54" spans="1:17" x14ac:dyDescent="0.25">
      <c r="A54">
        <v>53</v>
      </c>
      <c r="B54">
        <v>92000</v>
      </c>
      <c r="C54">
        <v>121</v>
      </c>
      <c r="D54">
        <v>12</v>
      </c>
      <c r="E54">
        <v>4</v>
      </c>
      <c r="F54">
        <v>1</v>
      </c>
      <c r="G54">
        <v>0</v>
      </c>
      <c r="H54">
        <v>707</v>
      </c>
      <c r="I54">
        <v>0</v>
      </c>
      <c r="J54">
        <v>0</v>
      </c>
      <c r="L54">
        <f t="shared" si="0"/>
        <v>121</v>
      </c>
      <c r="M54" s="2">
        <f t="shared" si="1"/>
        <v>92</v>
      </c>
      <c r="O54">
        <f t="shared" si="2"/>
        <v>121</v>
      </c>
      <c r="P54" s="1">
        <f t="shared" si="3"/>
        <v>760.33057851239664</v>
      </c>
      <c r="Q54">
        <f>IF(P53&gt;1000,1,0)</f>
        <v>0</v>
      </c>
    </row>
    <row r="55" spans="1:17" x14ac:dyDescent="0.25">
      <c r="A55">
        <v>54</v>
      </c>
      <c r="B55">
        <v>260536</v>
      </c>
      <c r="C55">
        <v>256</v>
      </c>
      <c r="D55">
        <v>1</v>
      </c>
      <c r="E55">
        <v>3</v>
      </c>
      <c r="F55">
        <v>2</v>
      </c>
      <c r="G55">
        <v>0</v>
      </c>
      <c r="H55">
        <v>358</v>
      </c>
      <c r="I55">
        <v>1</v>
      </c>
      <c r="J55">
        <v>1</v>
      </c>
      <c r="L55">
        <f t="shared" si="0"/>
        <v>256</v>
      </c>
      <c r="M55" s="2">
        <f t="shared" si="1"/>
        <v>260.536</v>
      </c>
      <c r="O55">
        <f t="shared" si="2"/>
        <v>256</v>
      </c>
      <c r="P55" s="1">
        <f t="shared" si="3"/>
        <v>1017.71875</v>
      </c>
      <c r="Q55">
        <f>IF(P54&gt;1000,1,0)</f>
        <v>0</v>
      </c>
    </row>
    <row r="56" spans="1:17" x14ac:dyDescent="0.25">
      <c r="A56">
        <v>55</v>
      </c>
      <c r="B56">
        <v>289920</v>
      </c>
      <c r="C56">
        <v>256</v>
      </c>
      <c r="D56">
        <v>1</v>
      </c>
      <c r="E56">
        <v>6</v>
      </c>
      <c r="F56">
        <v>2</v>
      </c>
      <c r="G56">
        <v>0</v>
      </c>
      <c r="H56">
        <v>358</v>
      </c>
      <c r="I56">
        <v>1</v>
      </c>
      <c r="J56">
        <v>1</v>
      </c>
      <c r="L56">
        <f t="shared" si="0"/>
        <v>256</v>
      </c>
      <c r="M56" s="2">
        <f t="shared" si="1"/>
        <v>289.92</v>
      </c>
      <c r="O56">
        <f t="shared" si="2"/>
        <v>256</v>
      </c>
      <c r="P56" s="1">
        <f t="shared" si="3"/>
        <v>1132.5</v>
      </c>
      <c r="Q56">
        <f>IF(P55&gt;1000,1,0)</f>
        <v>1</v>
      </c>
    </row>
    <row r="57" spans="1:17" x14ac:dyDescent="0.25">
      <c r="A57">
        <v>56</v>
      </c>
      <c r="B57">
        <v>131039</v>
      </c>
      <c r="C57">
        <v>147</v>
      </c>
      <c r="D57">
        <v>1</v>
      </c>
      <c r="E57">
        <v>2</v>
      </c>
      <c r="F57">
        <v>1</v>
      </c>
      <c r="G57">
        <v>0</v>
      </c>
      <c r="H57">
        <v>338</v>
      </c>
      <c r="I57">
        <v>1</v>
      </c>
      <c r="J57">
        <v>0</v>
      </c>
      <c r="L57">
        <f t="shared" si="0"/>
        <v>147</v>
      </c>
      <c r="M57" s="2">
        <f t="shared" si="1"/>
        <v>131.03899999999999</v>
      </c>
      <c r="O57">
        <f t="shared" si="2"/>
        <v>147</v>
      </c>
      <c r="P57" s="1">
        <f t="shared" si="3"/>
        <v>891.42176870748301</v>
      </c>
      <c r="Q57">
        <f>IF(P56&gt;1000,1,0)</f>
        <v>1</v>
      </c>
    </row>
    <row r="58" spans="1:17" x14ac:dyDescent="0.25">
      <c r="A58">
        <v>57</v>
      </c>
      <c r="B58">
        <v>209000</v>
      </c>
      <c r="C58">
        <v>204</v>
      </c>
      <c r="D58">
        <v>1</v>
      </c>
      <c r="E58">
        <v>3</v>
      </c>
      <c r="F58">
        <v>2</v>
      </c>
      <c r="G58">
        <v>0</v>
      </c>
      <c r="H58">
        <v>272</v>
      </c>
      <c r="I58">
        <v>1</v>
      </c>
      <c r="J58">
        <v>0</v>
      </c>
      <c r="L58">
        <f t="shared" si="0"/>
        <v>204</v>
      </c>
      <c r="M58" s="2">
        <f t="shared" si="1"/>
        <v>209</v>
      </c>
      <c r="O58">
        <f t="shared" si="2"/>
        <v>204</v>
      </c>
      <c r="P58" s="1">
        <f t="shared" si="3"/>
        <v>1024.5098039215686</v>
      </c>
      <c r="Q58">
        <f>IF(P57&gt;1000,1,0)</f>
        <v>0</v>
      </c>
    </row>
    <row r="59" spans="1:17" x14ac:dyDescent="0.25">
      <c r="A59">
        <v>58</v>
      </c>
      <c r="B59">
        <v>221496</v>
      </c>
      <c r="C59">
        <v>198</v>
      </c>
      <c r="D59">
        <v>1</v>
      </c>
      <c r="E59">
        <v>4</v>
      </c>
      <c r="F59">
        <v>4</v>
      </c>
      <c r="G59">
        <v>0</v>
      </c>
      <c r="H59">
        <v>392</v>
      </c>
      <c r="I59">
        <v>1</v>
      </c>
      <c r="J59">
        <v>1</v>
      </c>
      <c r="L59">
        <f t="shared" si="0"/>
        <v>198</v>
      </c>
      <c r="M59" s="2">
        <f t="shared" si="1"/>
        <v>221.49600000000001</v>
      </c>
      <c r="O59">
        <f t="shared" si="2"/>
        <v>198</v>
      </c>
      <c r="P59" s="1">
        <f t="shared" si="3"/>
        <v>1118.6666666666667</v>
      </c>
      <c r="Q59">
        <f>IF(P58&gt;1000,1,0)</f>
        <v>1</v>
      </c>
    </row>
    <row r="60" spans="1:17" x14ac:dyDescent="0.25">
      <c r="A60">
        <v>59</v>
      </c>
      <c r="B60">
        <v>227701</v>
      </c>
      <c r="C60">
        <v>198</v>
      </c>
      <c r="D60">
        <v>1</v>
      </c>
      <c r="E60">
        <v>5</v>
      </c>
      <c r="F60">
        <v>4</v>
      </c>
      <c r="G60">
        <v>0</v>
      </c>
      <c r="H60">
        <v>392</v>
      </c>
      <c r="I60">
        <v>1</v>
      </c>
      <c r="J60">
        <v>1</v>
      </c>
      <c r="L60">
        <f t="shared" si="0"/>
        <v>198</v>
      </c>
      <c r="M60" s="2">
        <f t="shared" si="1"/>
        <v>227.70099999999999</v>
      </c>
      <c r="O60">
        <f t="shared" si="2"/>
        <v>198</v>
      </c>
      <c r="P60" s="1">
        <f t="shared" si="3"/>
        <v>1150.0050505050506</v>
      </c>
      <c r="Q60">
        <f>IF(P59&gt;1000,1,0)</f>
        <v>1</v>
      </c>
    </row>
    <row r="61" spans="1:17" x14ac:dyDescent="0.25">
      <c r="A61">
        <v>60</v>
      </c>
      <c r="B61">
        <v>76000</v>
      </c>
      <c r="C61">
        <v>105</v>
      </c>
      <c r="D61">
        <v>5</v>
      </c>
      <c r="E61">
        <v>3</v>
      </c>
      <c r="F61">
        <v>1</v>
      </c>
      <c r="G61">
        <v>0</v>
      </c>
      <c r="H61">
        <v>122</v>
      </c>
      <c r="I61">
        <v>0</v>
      </c>
      <c r="J61">
        <v>0</v>
      </c>
      <c r="L61">
        <f t="shared" si="0"/>
        <v>105</v>
      </c>
      <c r="M61" s="2">
        <f t="shared" si="1"/>
        <v>76</v>
      </c>
      <c r="O61">
        <f t="shared" si="2"/>
        <v>105</v>
      </c>
      <c r="P61" s="1">
        <f t="shared" si="3"/>
        <v>723.80952380952385</v>
      </c>
      <c r="Q61">
        <f>IF(P60&gt;1000,1,0)</f>
        <v>1</v>
      </c>
    </row>
    <row r="62" spans="1:17" x14ac:dyDescent="0.25">
      <c r="A62">
        <v>61</v>
      </c>
      <c r="B62">
        <v>160000</v>
      </c>
      <c r="C62">
        <v>181</v>
      </c>
      <c r="D62">
        <v>2</v>
      </c>
      <c r="E62">
        <v>6</v>
      </c>
      <c r="F62">
        <v>1</v>
      </c>
      <c r="G62">
        <v>0</v>
      </c>
      <c r="H62">
        <v>74</v>
      </c>
      <c r="I62">
        <v>0</v>
      </c>
      <c r="J62">
        <v>1</v>
      </c>
      <c r="L62">
        <f t="shared" si="0"/>
        <v>181</v>
      </c>
      <c r="M62" s="2">
        <f t="shared" si="1"/>
        <v>160</v>
      </c>
      <c r="O62">
        <f t="shared" si="2"/>
        <v>181</v>
      </c>
      <c r="P62" s="1">
        <f t="shared" si="3"/>
        <v>883.97790055248618</v>
      </c>
      <c r="Q62">
        <f>IF(P61&gt;1000,1,0)</f>
        <v>0</v>
      </c>
    </row>
    <row r="63" spans="1:17" x14ac:dyDescent="0.25">
      <c r="A63">
        <v>62</v>
      </c>
      <c r="B63">
        <v>96000</v>
      </c>
      <c r="C63">
        <v>103</v>
      </c>
      <c r="D63">
        <v>4</v>
      </c>
      <c r="E63">
        <v>7</v>
      </c>
      <c r="F63">
        <v>1</v>
      </c>
      <c r="G63">
        <v>0</v>
      </c>
      <c r="H63">
        <v>381</v>
      </c>
      <c r="I63">
        <v>0</v>
      </c>
      <c r="J63">
        <v>0</v>
      </c>
      <c r="L63">
        <f t="shared" si="0"/>
        <v>103</v>
      </c>
      <c r="M63" s="2">
        <f t="shared" si="1"/>
        <v>96</v>
      </c>
      <c r="O63">
        <f t="shared" si="2"/>
        <v>103</v>
      </c>
      <c r="P63" s="1">
        <f t="shared" si="3"/>
        <v>932.03883495145635</v>
      </c>
      <c r="Q63">
        <f>IF(P62&gt;1000,1,0)</f>
        <v>0</v>
      </c>
    </row>
    <row r="64" spans="1:17" x14ac:dyDescent="0.25">
      <c r="A64">
        <v>63</v>
      </c>
      <c r="B64">
        <v>104000</v>
      </c>
      <c r="C64">
        <v>102</v>
      </c>
      <c r="D64">
        <v>4</v>
      </c>
      <c r="E64">
        <v>5</v>
      </c>
      <c r="F64">
        <v>1</v>
      </c>
      <c r="G64">
        <v>0</v>
      </c>
      <c r="H64">
        <v>427</v>
      </c>
      <c r="I64">
        <v>1</v>
      </c>
      <c r="J64">
        <v>0</v>
      </c>
      <c r="L64">
        <f t="shared" si="0"/>
        <v>102</v>
      </c>
      <c r="M64" s="2">
        <f t="shared" si="1"/>
        <v>104</v>
      </c>
      <c r="O64">
        <f t="shared" si="2"/>
        <v>102</v>
      </c>
      <c r="P64" s="1">
        <f t="shared" si="3"/>
        <v>1019.6078431372549</v>
      </c>
      <c r="Q64">
        <f>IF(P63&gt;1000,1,0)</f>
        <v>0</v>
      </c>
    </row>
    <row r="65" spans="1:17" x14ac:dyDescent="0.25">
      <c r="A65">
        <v>64</v>
      </c>
      <c r="B65">
        <v>116000</v>
      </c>
      <c r="C65">
        <v>106</v>
      </c>
      <c r="D65">
        <v>1</v>
      </c>
      <c r="E65">
        <v>6</v>
      </c>
      <c r="F65">
        <v>1</v>
      </c>
      <c r="G65">
        <v>0</v>
      </c>
      <c r="H65">
        <v>768</v>
      </c>
      <c r="I65">
        <v>1</v>
      </c>
      <c r="J65">
        <v>1</v>
      </c>
      <c r="L65">
        <f t="shared" si="0"/>
        <v>106</v>
      </c>
      <c r="M65" s="2">
        <f t="shared" si="1"/>
        <v>116</v>
      </c>
      <c r="O65">
        <f t="shared" si="2"/>
        <v>106</v>
      </c>
      <c r="P65" s="1">
        <f t="shared" si="3"/>
        <v>1094.3396226415093</v>
      </c>
      <c r="Q65">
        <f>IF(P64&gt;1000,1,0)</f>
        <v>1</v>
      </c>
    </row>
    <row r="66" spans="1:17" x14ac:dyDescent="0.25">
      <c r="A66">
        <v>65</v>
      </c>
      <c r="B66">
        <v>68000</v>
      </c>
      <c r="C66">
        <v>117</v>
      </c>
      <c r="D66">
        <v>1</v>
      </c>
      <c r="E66">
        <v>1</v>
      </c>
      <c r="F66">
        <v>1</v>
      </c>
      <c r="G66">
        <v>0</v>
      </c>
      <c r="H66">
        <v>234</v>
      </c>
      <c r="I66">
        <v>0</v>
      </c>
      <c r="J66">
        <v>0</v>
      </c>
      <c r="L66">
        <f t="shared" si="0"/>
        <v>117</v>
      </c>
      <c r="M66" s="2">
        <f t="shared" si="1"/>
        <v>68</v>
      </c>
      <c r="O66">
        <f t="shared" si="2"/>
        <v>117</v>
      </c>
      <c r="P66" s="1">
        <f t="shared" si="3"/>
        <v>581.19658119658118</v>
      </c>
      <c r="Q66">
        <f>IF(P65&gt;1000,1,0)</f>
        <v>1</v>
      </c>
    </row>
    <row r="67" spans="1:17" x14ac:dyDescent="0.25">
      <c r="A67">
        <v>66</v>
      </c>
      <c r="B67">
        <v>83200</v>
      </c>
      <c r="C67">
        <v>84</v>
      </c>
      <c r="D67">
        <v>1</v>
      </c>
      <c r="E67">
        <v>5</v>
      </c>
      <c r="F67">
        <v>1</v>
      </c>
      <c r="G67">
        <v>0</v>
      </c>
      <c r="H67">
        <v>898</v>
      </c>
      <c r="I67">
        <v>0</v>
      </c>
      <c r="J67">
        <v>0</v>
      </c>
      <c r="L67">
        <f t="shared" ref="L67:L130" si="4">C67</f>
        <v>84</v>
      </c>
      <c r="M67" s="2">
        <f t="shared" ref="M67:M130" si="5">B67/1000</f>
        <v>83.2</v>
      </c>
      <c r="O67">
        <f t="shared" ref="O67:O130" si="6">L67</f>
        <v>84</v>
      </c>
      <c r="P67" s="1">
        <f t="shared" ref="P67:P130" si="7">B67/C67</f>
        <v>990.47619047619048</v>
      </c>
      <c r="Q67">
        <f>IF(P66&gt;1000,1,0)</f>
        <v>0</v>
      </c>
    </row>
    <row r="68" spans="1:17" x14ac:dyDescent="0.25">
      <c r="A68">
        <v>67</v>
      </c>
      <c r="B68">
        <v>68000</v>
      </c>
      <c r="C68">
        <v>85</v>
      </c>
      <c r="D68">
        <v>1</v>
      </c>
      <c r="E68">
        <v>5</v>
      </c>
      <c r="F68">
        <v>0</v>
      </c>
      <c r="G68">
        <v>0</v>
      </c>
      <c r="H68">
        <v>663</v>
      </c>
      <c r="I68">
        <v>0</v>
      </c>
      <c r="J68">
        <v>0</v>
      </c>
      <c r="L68">
        <f t="shared" si="4"/>
        <v>85</v>
      </c>
      <c r="M68" s="2">
        <f t="shared" si="5"/>
        <v>68</v>
      </c>
      <c r="O68">
        <f t="shared" si="6"/>
        <v>85</v>
      </c>
      <c r="P68" s="1">
        <f t="shared" si="7"/>
        <v>800</v>
      </c>
      <c r="Q68">
        <f>IF(P67&gt;1000,1,0)</f>
        <v>0</v>
      </c>
    </row>
    <row r="69" spans="1:17" x14ac:dyDescent="0.25">
      <c r="A69">
        <v>68</v>
      </c>
      <c r="B69">
        <v>120000</v>
      </c>
      <c r="C69">
        <v>114</v>
      </c>
      <c r="D69">
        <v>1</v>
      </c>
      <c r="E69">
        <v>9</v>
      </c>
      <c r="F69">
        <v>1</v>
      </c>
      <c r="G69">
        <v>0</v>
      </c>
      <c r="H69">
        <v>780</v>
      </c>
      <c r="I69">
        <v>1</v>
      </c>
      <c r="J69">
        <v>1</v>
      </c>
      <c r="L69">
        <f t="shared" si="4"/>
        <v>114</v>
      </c>
      <c r="M69" s="2">
        <f t="shared" si="5"/>
        <v>120</v>
      </c>
      <c r="O69">
        <f t="shared" si="6"/>
        <v>114</v>
      </c>
      <c r="P69" s="1">
        <f t="shared" si="7"/>
        <v>1052.6315789473683</v>
      </c>
      <c r="Q69">
        <f>IF(P68&gt;1000,1,0)</f>
        <v>0</v>
      </c>
    </row>
    <row r="70" spans="1:17" x14ac:dyDescent="0.25">
      <c r="A70">
        <v>69</v>
      </c>
      <c r="B70">
        <v>88000</v>
      </c>
      <c r="C70">
        <v>105</v>
      </c>
      <c r="D70">
        <v>1</v>
      </c>
      <c r="E70">
        <v>4</v>
      </c>
      <c r="F70">
        <v>1</v>
      </c>
      <c r="G70">
        <v>0</v>
      </c>
      <c r="H70">
        <v>459</v>
      </c>
      <c r="I70">
        <v>1</v>
      </c>
      <c r="J70">
        <v>0</v>
      </c>
      <c r="L70">
        <f t="shared" si="4"/>
        <v>105</v>
      </c>
      <c r="M70" s="2">
        <f t="shared" si="5"/>
        <v>88</v>
      </c>
      <c r="O70">
        <f t="shared" si="6"/>
        <v>105</v>
      </c>
      <c r="P70" s="1">
        <f t="shared" si="7"/>
        <v>838.09523809523807</v>
      </c>
      <c r="Q70">
        <f>IF(P69&gt;1000,1,0)</f>
        <v>1</v>
      </c>
    </row>
    <row r="71" spans="1:17" x14ac:dyDescent="0.25">
      <c r="A71">
        <v>70</v>
      </c>
      <c r="B71">
        <v>96000</v>
      </c>
      <c r="C71">
        <v>105</v>
      </c>
      <c r="D71">
        <v>1</v>
      </c>
      <c r="E71">
        <v>5</v>
      </c>
      <c r="F71">
        <v>1</v>
      </c>
      <c r="G71">
        <v>0</v>
      </c>
      <c r="H71">
        <v>459</v>
      </c>
      <c r="I71">
        <v>1</v>
      </c>
      <c r="J71">
        <v>0</v>
      </c>
      <c r="L71">
        <f t="shared" si="4"/>
        <v>105</v>
      </c>
      <c r="M71" s="2">
        <f t="shared" si="5"/>
        <v>96</v>
      </c>
      <c r="O71">
        <f t="shared" si="6"/>
        <v>105</v>
      </c>
      <c r="P71" s="1">
        <f t="shared" si="7"/>
        <v>914.28571428571433</v>
      </c>
      <c r="Q71">
        <f>IF(P70&gt;1000,1,0)</f>
        <v>0</v>
      </c>
    </row>
    <row r="72" spans="1:17" x14ac:dyDescent="0.25">
      <c r="A72">
        <v>71</v>
      </c>
      <c r="B72">
        <v>70400</v>
      </c>
      <c r="C72">
        <v>88</v>
      </c>
      <c r="D72">
        <v>5</v>
      </c>
      <c r="E72">
        <v>2</v>
      </c>
      <c r="F72">
        <v>0</v>
      </c>
      <c r="G72">
        <v>0</v>
      </c>
      <c r="H72">
        <v>247</v>
      </c>
      <c r="I72">
        <v>1</v>
      </c>
      <c r="J72">
        <v>0</v>
      </c>
      <c r="L72">
        <f t="shared" si="4"/>
        <v>88</v>
      </c>
      <c r="M72" s="2">
        <f t="shared" si="5"/>
        <v>70.400000000000006</v>
      </c>
      <c r="O72">
        <f t="shared" si="6"/>
        <v>88</v>
      </c>
      <c r="P72" s="1">
        <f t="shared" si="7"/>
        <v>800</v>
      </c>
      <c r="Q72">
        <f>IF(P71&gt;1000,1,0)</f>
        <v>0</v>
      </c>
    </row>
    <row r="73" spans="1:17" x14ac:dyDescent="0.25">
      <c r="A73">
        <v>72</v>
      </c>
      <c r="B73">
        <v>92000</v>
      </c>
      <c r="C73">
        <v>91</v>
      </c>
      <c r="D73">
        <v>4</v>
      </c>
      <c r="E73">
        <v>2</v>
      </c>
      <c r="F73">
        <v>1</v>
      </c>
      <c r="G73">
        <v>0</v>
      </c>
      <c r="H73">
        <v>148</v>
      </c>
      <c r="I73">
        <v>1</v>
      </c>
      <c r="J73">
        <v>0</v>
      </c>
      <c r="L73">
        <f t="shared" si="4"/>
        <v>91</v>
      </c>
      <c r="M73" s="2">
        <f t="shared" si="5"/>
        <v>92</v>
      </c>
      <c r="O73">
        <f t="shared" si="6"/>
        <v>91</v>
      </c>
      <c r="P73" s="1">
        <f t="shared" si="7"/>
        <v>1010.989010989011</v>
      </c>
      <c r="Q73">
        <f>IF(P72&gt;1000,1,0)</f>
        <v>0</v>
      </c>
    </row>
    <row r="74" spans="1:17" x14ac:dyDescent="0.25">
      <c r="A74">
        <v>73</v>
      </c>
      <c r="B74">
        <v>84000</v>
      </c>
      <c r="C74">
        <v>98</v>
      </c>
      <c r="D74">
        <v>2</v>
      </c>
      <c r="E74">
        <v>2</v>
      </c>
      <c r="F74">
        <v>1</v>
      </c>
      <c r="G74">
        <v>0</v>
      </c>
      <c r="H74">
        <v>98</v>
      </c>
      <c r="I74">
        <v>0</v>
      </c>
      <c r="J74">
        <v>0</v>
      </c>
      <c r="L74">
        <f t="shared" si="4"/>
        <v>98</v>
      </c>
      <c r="M74" s="2">
        <f t="shared" si="5"/>
        <v>84</v>
      </c>
      <c r="O74">
        <f t="shared" si="6"/>
        <v>98</v>
      </c>
      <c r="P74" s="1">
        <f t="shared" si="7"/>
        <v>857.14285714285711</v>
      </c>
      <c r="Q74">
        <f>IF(P73&gt;1000,1,0)</f>
        <v>1</v>
      </c>
    </row>
    <row r="75" spans="1:17" x14ac:dyDescent="0.25">
      <c r="A75">
        <v>74</v>
      </c>
      <c r="B75">
        <v>156000</v>
      </c>
      <c r="C75">
        <v>137</v>
      </c>
      <c r="D75">
        <v>1</v>
      </c>
      <c r="E75">
        <v>5</v>
      </c>
      <c r="F75">
        <v>2</v>
      </c>
      <c r="G75">
        <v>0</v>
      </c>
      <c r="H75">
        <v>408</v>
      </c>
      <c r="I75">
        <v>1</v>
      </c>
      <c r="J75">
        <v>1</v>
      </c>
      <c r="L75">
        <f t="shared" si="4"/>
        <v>137</v>
      </c>
      <c r="M75" s="2">
        <f t="shared" si="5"/>
        <v>156</v>
      </c>
      <c r="O75">
        <f t="shared" si="6"/>
        <v>137</v>
      </c>
      <c r="P75" s="1">
        <f t="shared" si="7"/>
        <v>1138.6861313868612</v>
      </c>
      <c r="Q75">
        <f>IF(P74&gt;1000,1,0)</f>
        <v>0</v>
      </c>
    </row>
    <row r="76" spans="1:17" x14ac:dyDescent="0.25">
      <c r="A76">
        <v>75</v>
      </c>
      <c r="B76">
        <v>144000</v>
      </c>
      <c r="C76">
        <v>125</v>
      </c>
      <c r="D76">
        <v>1</v>
      </c>
      <c r="E76">
        <v>5</v>
      </c>
      <c r="F76">
        <v>3</v>
      </c>
      <c r="G76">
        <v>0</v>
      </c>
      <c r="H76">
        <v>408</v>
      </c>
      <c r="I76">
        <v>1</v>
      </c>
      <c r="J76">
        <v>1</v>
      </c>
      <c r="L76">
        <f t="shared" si="4"/>
        <v>125</v>
      </c>
      <c r="M76" s="2">
        <f t="shared" si="5"/>
        <v>144</v>
      </c>
      <c r="O76">
        <f t="shared" si="6"/>
        <v>125</v>
      </c>
      <c r="P76" s="1">
        <f t="shared" si="7"/>
        <v>1152</v>
      </c>
      <c r="Q76">
        <f>IF(P75&gt;1000,1,0)</f>
        <v>1</v>
      </c>
    </row>
    <row r="77" spans="1:17" x14ac:dyDescent="0.25">
      <c r="A77">
        <v>76</v>
      </c>
      <c r="B77">
        <v>108000</v>
      </c>
      <c r="C77">
        <v>130</v>
      </c>
      <c r="D77">
        <v>14</v>
      </c>
      <c r="E77">
        <v>3</v>
      </c>
      <c r="F77">
        <v>1</v>
      </c>
      <c r="G77">
        <v>0</v>
      </c>
      <c r="H77">
        <v>215</v>
      </c>
      <c r="I77">
        <v>0</v>
      </c>
      <c r="J77">
        <v>0</v>
      </c>
      <c r="L77">
        <f t="shared" si="4"/>
        <v>130</v>
      </c>
      <c r="M77" s="2">
        <f t="shared" si="5"/>
        <v>108</v>
      </c>
      <c r="O77">
        <f t="shared" si="6"/>
        <v>130</v>
      </c>
      <c r="P77" s="1">
        <f t="shared" si="7"/>
        <v>830.76923076923072</v>
      </c>
      <c r="Q77">
        <f>IF(P76&gt;1000,1,0)</f>
        <v>1</v>
      </c>
    </row>
    <row r="78" spans="1:17" x14ac:dyDescent="0.25">
      <c r="A78">
        <v>77</v>
      </c>
      <c r="B78">
        <v>148000</v>
      </c>
      <c r="C78">
        <v>164</v>
      </c>
      <c r="D78">
        <v>16</v>
      </c>
      <c r="E78">
        <v>5</v>
      </c>
      <c r="F78">
        <v>1</v>
      </c>
      <c r="G78">
        <v>0</v>
      </c>
      <c r="H78">
        <v>1317</v>
      </c>
      <c r="I78">
        <v>1</v>
      </c>
      <c r="J78">
        <v>0</v>
      </c>
      <c r="L78">
        <f t="shared" si="4"/>
        <v>164</v>
      </c>
      <c r="M78" s="2">
        <f t="shared" si="5"/>
        <v>148</v>
      </c>
      <c r="O78">
        <f t="shared" si="6"/>
        <v>164</v>
      </c>
      <c r="P78" s="1">
        <f t="shared" si="7"/>
        <v>902.43902439024396</v>
      </c>
      <c r="Q78">
        <f>IF(P77&gt;1000,1,0)</f>
        <v>0</v>
      </c>
    </row>
    <row r="79" spans="1:17" x14ac:dyDescent="0.25">
      <c r="A79">
        <v>78</v>
      </c>
      <c r="B79">
        <v>152000</v>
      </c>
      <c r="C79">
        <v>169</v>
      </c>
      <c r="D79">
        <v>5</v>
      </c>
      <c r="E79">
        <v>3</v>
      </c>
      <c r="F79">
        <v>1</v>
      </c>
      <c r="G79">
        <v>0</v>
      </c>
      <c r="H79">
        <v>495</v>
      </c>
      <c r="I79">
        <v>1</v>
      </c>
      <c r="J79">
        <v>0</v>
      </c>
      <c r="L79">
        <f t="shared" si="4"/>
        <v>169</v>
      </c>
      <c r="M79" s="2">
        <f t="shared" si="5"/>
        <v>152</v>
      </c>
      <c r="O79">
        <f t="shared" si="6"/>
        <v>169</v>
      </c>
      <c r="P79" s="1">
        <f t="shared" si="7"/>
        <v>899.40828402366867</v>
      </c>
      <c r="Q79">
        <f>IF(P78&gt;1000,1,0)</f>
        <v>0</v>
      </c>
    </row>
    <row r="80" spans="1:17" x14ac:dyDescent="0.25">
      <c r="A80">
        <v>79</v>
      </c>
      <c r="B80">
        <v>76000</v>
      </c>
      <c r="C80">
        <v>125</v>
      </c>
      <c r="D80">
        <v>12</v>
      </c>
      <c r="E80">
        <v>1</v>
      </c>
      <c r="F80">
        <v>1</v>
      </c>
      <c r="G80">
        <v>0</v>
      </c>
      <c r="H80">
        <v>79</v>
      </c>
      <c r="I80">
        <v>0</v>
      </c>
      <c r="J80">
        <v>0</v>
      </c>
      <c r="L80">
        <f t="shared" si="4"/>
        <v>125</v>
      </c>
      <c r="M80" s="2">
        <f t="shared" si="5"/>
        <v>76</v>
      </c>
      <c r="O80">
        <f t="shared" si="6"/>
        <v>125</v>
      </c>
      <c r="P80" s="1">
        <f t="shared" si="7"/>
        <v>608</v>
      </c>
      <c r="Q80">
        <f>IF(P79&gt;1000,1,0)</f>
        <v>0</v>
      </c>
    </row>
    <row r="81" spans="1:17" x14ac:dyDescent="0.25">
      <c r="A81">
        <v>80</v>
      </c>
      <c r="B81">
        <v>64000</v>
      </c>
      <c r="C81">
        <v>75</v>
      </c>
      <c r="D81">
        <v>15</v>
      </c>
      <c r="E81">
        <v>2</v>
      </c>
      <c r="F81">
        <v>0</v>
      </c>
      <c r="G81">
        <v>0</v>
      </c>
      <c r="H81">
        <v>315</v>
      </c>
      <c r="I81">
        <v>1</v>
      </c>
      <c r="J81">
        <v>1</v>
      </c>
      <c r="L81">
        <f t="shared" si="4"/>
        <v>75</v>
      </c>
      <c r="M81" s="2">
        <f t="shared" si="5"/>
        <v>64</v>
      </c>
      <c r="O81">
        <f t="shared" si="6"/>
        <v>75</v>
      </c>
      <c r="P81" s="1">
        <f t="shared" si="7"/>
        <v>853.33333333333337</v>
      </c>
      <c r="Q81">
        <f>IF(P80&gt;1000,1,0)</f>
        <v>0</v>
      </c>
    </row>
    <row r="82" spans="1:17" x14ac:dyDescent="0.25">
      <c r="A82">
        <v>81</v>
      </c>
      <c r="B82">
        <v>192000</v>
      </c>
      <c r="C82">
        <v>241</v>
      </c>
      <c r="D82">
        <v>10</v>
      </c>
      <c r="E82">
        <v>2</v>
      </c>
      <c r="F82">
        <v>3</v>
      </c>
      <c r="G82">
        <v>0</v>
      </c>
      <c r="H82">
        <v>132</v>
      </c>
      <c r="I82">
        <v>0</v>
      </c>
      <c r="J82">
        <v>0</v>
      </c>
      <c r="L82">
        <f t="shared" si="4"/>
        <v>241</v>
      </c>
      <c r="M82" s="2">
        <f t="shared" si="5"/>
        <v>192</v>
      </c>
      <c r="O82">
        <f t="shared" si="6"/>
        <v>241</v>
      </c>
      <c r="P82" s="1">
        <f t="shared" si="7"/>
        <v>796.68049792531122</v>
      </c>
      <c r="Q82">
        <f>IF(P81&gt;1000,1,0)</f>
        <v>0</v>
      </c>
    </row>
    <row r="83" spans="1:17" x14ac:dyDescent="0.25">
      <c r="A83">
        <v>82</v>
      </c>
      <c r="B83">
        <v>40000</v>
      </c>
      <c r="C83">
        <v>69</v>
      </c>
      <c r="D83">
        <v>15</v>
      </c>
      <c r="E83">
        <v>1</v>
      </c>
      <c r="F83">
        <v>0</v>
      </c>
      <c r="G83">
        <v>0</v>
      </c>
      <c r="H83">
        <v>373</v>
      </c>
      <c r="I83">
        <v>1</v>
      </c>
      <c r="J83">
        <v>0</v>
      </c>
      <c r="L83">
        <f t="shared" si="4"/>
        <v>69</v>
      </c>
      <c r="M83" s="2">
        <f t="shared" si="5"/>
        <v>40</v>
      </c>
      <c r="O83">
        <f t="shared" si="6"/>
        <v>69</v>
      </c>
      <c r="P83" s="1">
        <f t="shared" si="7"/>
        <v>579.71014492753625</v>
      </c>
      <c r="Q83">
        <f>IF(P82&gt;1000,1,0)</f>
        <v>0</v>
      </c>
    </row>
    <row r="84" spans="1:17" x14ac:dyDescent="0.25">
      <c r="A84">
        <v>83</v>
      </c>
      <c r="B84">
        <v>72000</v>
      </c>
      <c r="C84">
        <v>112</v>
      </c>
      <c r="D84">
        <v>12</v>
      </c>
      <c r="E84">
        <v>1</v>
      </c>
      <c r="F84">
        <v>0</v>
      </c>
      <c r="G84">
        <v>0</v>
      </c>
      <c r="H84">
        <v>636</v>
      </c>
      <c r="I84">
        <v>1</v>
      </c>
      <c r="J84">
        <v>1</v>
      </c>
      <c r="L84">
        <f t="shared" si="4"/>
        <v>112</v>
      </c>
      <c r="M84" s="2">
        <f t="shared" si="5"/>
        <v>72</v>
      </c>
      <c r="O84">
        <f t="shared" si="6"/>
        <v>112</v>
      </c>
      <c r="P84" s="1">
        <f t="shared" si="7"/>
        <v>642.85714285714289</v>
      </c>
      <c r="Q84">
        <f>IF(P83&gt;1000,1,0)</f>
        <v>0</v>
      </c>
    </row>
    <row r="85" spans="1:17" x14ac:dyDescent="0.25">
      <c r="A85">
        <v>84</v>
      </c>
      <c r="B85">
        <v>88000</v>
      </c>
      <c r="C85">
        <v>113</v>
      </c>
      <c r="D85">
        <v>10</v>
      </c>
      <c r="E85">
        <v>2</v>
      </c>
      <c r="F85">
        <v>1</v>
      </c>
      <c r="G85">
        <v>0</v>
      </c>
      <c r="H85">
        <v>318</v>
      </c>
      <c r="I85">
        <v>1</v>
      </c>
      <c r="J85">
        <v>1</v>
      </c>
      <c r="L85">
        <f t="shared" si="4"/>
        <v>113</v>
      </c>
      <c r="M85" s="2">
        <f t="shared" si="5"/>
        <v>88</v>
      </c>
      <c r="O85">
        <f t="shared" si="6"/>
        <v>113</v>
      </c>
      <c r="P85" s="1">
        <f t="shared" si="7"/>
        <v>778.7610619469026</v>
      </c>
      <c r="Q85">
        <f>IF(P84&gt;1000,1,0)</f>
        <v>0</v>
      </c>
    </row>
    <row r="86" spans="1:17" x14ac:dyDescent="0.25">
      <c r="A86">
        <v>85</v>
      </c>
      <c r="B86">
        <v>99978</v>
      </c>
      <c r="C86">
        <v>117</v>
      </c>
      <c r="D86">
        <v>1</v>
      </c>
      <c r="E86">
        <v>5</v>
      </c>
      <c r="F86">
        <v>1</v>
      </c>
      <c r="G86">
        <v>0</v>
      </c>
      <c r="H86">
        <v>234</v>
      </c>
      <c r="I86">
        <v>0</v>
      </c>
      <c r="J86">
        <v>0</v>
      </c>
      <c r="L86">
        <f t="shared" si="4"/>
        <v>117</v>
      </c>
      <c r="M86" s="2">
        <f t="shared" si="5"/>
        <v>99.977999999999994</v>
      </c>
      <c r="O86">
        <f t="shared" si="6"/>
        <v>117</v>
      </c>
      <c r="P86" s="1">
        <f t="shared" si="7"/>
        <v>854.51282051282055</v>
      </c>
      <c r="Q86">
        <f>IF(P85&gt;1000,1,0)</f>
        <v>0</v>
      </c>
    </row>
    <row r="87" spans="1:17" x14ac:dyDescent="0.25">
      <c r="A87">
        <v>86</v>
      </c>
      <c r="B87">
        <v>72000</v>
      </c>
      <c r="C87">
        <v>104</v>
      </c>
      <c r="D87">
        <v>12</v>
      </c>
      <c r="E87">
        <v>7</v>
      </c>
      <c r="F87">
        <v>1</v>
      </c>
      <c r="G87">
        <v>0</v>
      </c>
      <c r="H87">
        <v>122</v>
      </c>
      <c r="I87">
        <v>0</v>
      </c>
      <c r="J87">
        <v>0</v>
      </c>
      <c r="L87">
        <f t="shared" si="4"/>
        <v>104</v>
      </c>
      <c r="M87" s="2">
        <f t="shared" si="5"/>
        <v>72</v>
      </c>
      <c r="O87">
        <f t="shared" si="6"/>
        <v>104</v>
      </c>
      <c r="P87" s="1">
        <f t="shared" si="7"/>
        <v>692.30769230769226</v>
      </c>
      <c r="Q87">
        <f>IF(P86&gt;1000,1,0)</f>
        <v>0</v>
      </c>
    </row>
    <row r="88" spans="1:17" x14ac:dyDescent="0.25">
      <c r="A88">
        <v>87</v>
      </c>
      <c r="B88">
        <v>224000</v>
      </c>
      <c r="C88">
        <v>152</v>
      </c>
      <c r="D88">
        <v>1</v>
      </c>
      <c r="E88">
        <v>4</v>
      </c>
      <c r="F88">
        <v>1</v>
      </c>
      <c r="G88">
        <v>1</v>
      </c>
      <c r="H88">
        <v>353</v>
      </c>
      <c r="I88">
        <v>1</v>
      </c>
      <c r="J88">
        <v>0</v>
      </c>
      <c r="L88">
        <f t="shared" si="4"/>
        <v>152</v>
      </c>
      <c r="M88" s="2">
        <f t="shared" si="5"/>
        <v>224</v>
      </c>
      <c r="O88">
        <f t="shared" si="6"/>
        <v>152</v>
      </c>
      <c r="P88" s="1">
        <f t="shared" si="7"/>
        <v>1473.6842105263158</v>
      </c>
      <c r="Q88">
        <f>IF(P87&gt;1000,1,0)</f>
        <v>0</v>
      </c>
    </row>
    <row r="89" spans="1:17" x14ac:dyDescent="0.25">
      <c r="A89">
        <v>88</v>
      </c>
      <c r="B89">
        <v>93800</v>
      </c>
      <c r="C89">
        <v>116</v>
      </c>
      <c r="D89">
        <v>1</v>
      </c>
      <c r="E89">
        <v>5</v>
      </c>
      <c r="F89">
        <v>0</v>
      </c>
      <c r="G89">
        <v>0</v>
      </c>
      <c r="H89">
        <v>1806</v>
      </c>
      <c r="I89">
        <v>1</v>
      </c>
      <c r="J89">
        <v>0</v>
      </c>
      <c r="L89">
        <f t="shared" si="4"/>
        <v>116</v>
      </c>
      <c r="M89" s="2">
        <f t="shared" si="5"/>
        <v>93.8</v>
      </c>
      <c r="O89">
        <f t="shared" si="6"/>
        <v>116</v>
      </c>
      <c r="P89" s="1">
        <f t="shared" si="7"/>
        <v>808.62068965517244</v>
      </c>
      <c r="Q89">
        <f>IF(P88&gt;1000,1,0)</f>
        <v>1</v>
      </c>
    </row>
    <row r="90" spans="1:17" x14ac:dyDescent="0.25">
      <c r="A90">
        <v>89</v>
      </c>
      <c r="B90">
        <v>266000</v>
      </c>
      <c r="C90">
        <v>196</v>
      </c>
      <c r="D90">
        <v>1</v>
      </c>
      <c r="E90">
        <v>6</v>
      </c>
      <c r="F90">
        <v>1</v>
      </c>
      <c r="G90">
        <v>0</v>
      </c>
      <c r="H90">
        <v>302</v>
      </c>
      <c r="I90">
        <v>0</v>
      </c>
      <c r="J90">
        <v>1</v>
      </c>
      <c r="L90">
        <f t="shared" si="4"/>
        <v>196</v>
      </c>
      <c r="M90" s="2">
        <f t="shared" si="5"/>
        <v>266</v>
      </c>
      <c r="O90">
        <f t="shared" si="6"/>
        <v>196</v>
      </c>
      <c r="P90" s="1">
        <f t="shared" si="7"/>
        <v>1357.1428571428571</v>
      </c>
      <c r="Q90">
        <f>IF(P89&gt;1000,1,0)</f>
        <v>0</v>
      </c>
    </row>
    <row r="91" spans="1:17" x14ac:dyDescent="0.25">
      <c r="A91">
        <v>90</v>
      </c>
      <c r="B91">
        <v>154000</v>
      </c>
      <c r="C91">
        <v>162</v>
      </c>
      <c r="D91">
        <v>11</v>
      </c>
      <c r="E91">
        <v>3</v>
      </c>
      <c r="F91">
        <v>1</v>
      </c>
      <c r="G91">
        <v>0</v>
      </c>
      <c r="H91">
        <v>294</v>
      </c>
      <c r="I91">
        <v>0</v>
      </c>
      <c r="J91">
        <v>0</v>
      </c>
      <c r="L91">
        <f t="shared" si="4"/>
        <v>162</v>
      </c>
      <c r="M91" s="2">
        <f t="shared" si="5"/>
        <v>154</v>
      </c>
      <c r="O91">
        <f t="shared" si="6"/>
        <v>162</v>
      </c>
      <c r="P91" s="1">
        <f t="shared" si="7"/>
        <v>950.61728395061732</v>
      </c>
      <c r="Q91">
        <f>IF(P90&gt;1000,1,0)</f>
        <v>1</v>
      </c>
    </row>
    <row r="92" spans="1:17" x14ac:dyDescent="0.25">
      <c r="A92">
        <v>91</v>
      </c>
      <c r="B92">
        <v>98000</v>
      </c>
      <c r="C92">
        <v>108</v>
      </c>
      <c r="D92">
        <v>13</v>
      </c>
      <c r="E92">
        <v>3</v>
      </c>
      <c r="F92">
        <v>1</v>
      </c>
      <c r="G92">
        <v>0</v>
      </c>
      <c r="H92">
        <v>1148</v>
      </c>
      <c r="I92">
        <v>1</v>
      </c>
      <c r="J92">
        <v>0</v>
      </c>
      <c r="L92">
        <f t="shared" si="4"/>
        <v>108</v>
      </c>
      <c r="M92" s="2">
        <f t="shared" si="5"/>
        <v>98</v>
      </c>
      <c r="O92">
        <f t="shared" si="6"/>
        <v>108</v>
      </c>
      <c r="P92" s="1">
        <f t="shared" si="7"/>
        <v>907.40740740740739</v>
      </c>
      <c r="Q92">
        <f>IF(P91&gt;1000,1,0)</f>
        <v>0</v>
      </c>
    </row>
    <row r="93" spans="1:17" x14ac:dyDescent="0.25">
      <c r="A93">
        <v>92</v>
      </c>
      <c r="B93">
        <v>105000</v>
      </c>
      <c r="C93">
        <v>144</v>
      </c>
      <c r="D93">
        <v>16</v>
      </c>
      <c r="E93">
        <v>2</v>
      </c>
      <c r="F93">
        <v>0</v>
      </c>
      <c r="G93">
        <v>1</v>
      </c>
      <c r="H93">
        <v>102</v>
      </c>
      <c r="I93">
        <v>0</v>
      </c>
      <c r="J93">
        <v>1</v>
      </c>
      <c r="L93">
        <f t="shared" si="4"/>
        <v>144</v>
      </c>
      <c r="M93" s="2">
        <f t="shared" si="5"/>
        <v>105</v>
      </c>
      <c r="O93">
        <f t="shared" si="6"/>
        <v>144</v>
      </c>
      <c r="P93" s="1">
        <f t="shared" si="7"/>
        <v>729.16666666666663</v>
      </c>
      <c r="Q93">
        <f>IF(P92&gt;1000,1,0)</f>
        <v>0</v>
      </c>
    </row>
    <row r="94" spans="1:17" x14ac:dyDescent="0.25">
      <c r="A94">
        <v>93</v>
      </c>
      <c r="B94">
        <v>133000</v>
      </c>
      <c r="C94">
        <v>140</v>
      </c>
      <c r="D94">
        <v>5</v>
      </c>
      <c r="E94">
        <v>3</v>
      </c>
      <c r="F94">
        <v>1</v>
      </c>
      <c r="G94">
        <v>0</v>
      </c>
      <c r="H94">
        <v>1682</v>
      </c>
      <c r="I94">
        <v>1</v>
      </c>
      <c r="J94">
        <v>0</v>
      </c>
      <c r="L94">
        <f t="shared" si="4"/>
        <v>140</v>
      </c>
      <c r="M94" s="2">
        <f t="shared" si="5"/>
        <v>133</v>
      </c>
      <c r="O94">
        <f t="shared" si="6"/>
        <v>140</v>
      </c>
      <c r="P94" s="1">
        <f t="shared" si="7"/>
        <v>950</v>
      </c>
      <c r="Q94">
        <f>IF(P93&gt;1000,1,0)</f>
        <v>0</v>
      </c>
    </row>
    <row r="95" spans="1:17" x14ac:dyDescent="0.25">
      <c r="A95">
        <v>94</v>
      </c>
      <c r="B95">
        <v>189000</v>
      </c>
      <c r="C95">
        <v>149</v>
      </c>
      <c r="D95">
        <v>1</v>
      </c>
      <c r="E95">
        <v>2</v>
      </c>
      <c r="F95">
        <v>1</v>
      </c>
      <c r="G95">
        <v>1</v>
      </c>
      <c r="H95">
        <v>178</v>
      </c>
      <c r="I95">
        <v>0</v>
      </c>
      <c r="J95">
        <v>1</v>
      </c>
      <c r="L95">
        <f t="shared" si="4"/>
        <v>149</v>
      </c>
      <c r="M95" s="2">
        <f t="shared" si="5"/>
        <v>189</v>
      </c>
      <c r="O95">
        <f t="shared" si="6"/>
        <v>149</v>
      </c>
      <c r="P95" s="1">
        <f t="shared" si="7"/>
        <v>1268.4563758389261</v>
      </c>
      <c r="Q95">
        <f>IF(P94&gt;1000,1,0)</f>
        <v>0</v>
      </c>
    </row>
    <row r="96" spans="1:17" x14ac:dyDescent="0.25">
      <c r="A96">
        <v>95</v>
      </c>
      <c r="B96">
        <v>154000</v>
      </c>
      <c r="C96">
        <v>135</v>
      </c>
      <c r="D96">
        <v>9</v>
      </c>
      <c r="E96">
        <v>3</v>
      </c>
      <c r="F96">
        <v>1</v>
      </c>
      <c r="G96">
        <v>0</v>
      </c>
      <c r="H96">
        <v>172</v>
      </c>
      <c r="I96">
        <v>0</v>
      </c>
      <c r="J96">
        <v>0</v>
      </c>
      <c r="L96">
        <f t="shared" si="4"/>
        <v>135</v>
      </c>
      <c r="M96" s="2">
        <f t="shared" si="5"/>
        <v>154</v>
      </c>
      <c r="O96">
        <f t="shared" si="6"/>
        <v>135</v>
      </c>
      <c r="P96" s="1">
        <f t="shared" si="7"/>
        <v>1140.7407407407406</v>
      </c>
      <c r="Q96">
        <f>IF(P95&gt;1000,1,0)</f>
        <v>1</v>
      </c>
    </row>
    <row r="97" spans="1:17" x14ac:dyDescent="0.25">
      <c r="A97">
        <v>96</v>
      </c>
      <c r="B97">
        <v>161000</v>
      </c>
      <c r="C97">
        <v>167</v>
      </c>
      <c r="D97">
        <v>13</v>
      </c>
      <c r="E97">
        <v>4</v>
      </c>
      <c r="F97">
        <v>1</v>
      </c>
      <c r="G97">
        <v>0</v>
      </c>
      <c r="H97">
        <v>998</v>
      </c>
      <c r="I97">
        <v>0</v>
      </c>
      <c r="J97">
        <v>0</v>
      </c>
      <c r="L97">
        <f t="shared" si="4"/>
        <v>167</v>
      </c>
      <c r="M97" s="2">
        <f t="shared" si="5"/>
        <v>161</v>
      </c>
      <c r="O97">
        <f t="shared" si="6"/>
        <v>167</v>
      </c>
      <c r="P97" s="1">
        <f t="shared" si="7"/>
        <v>964.07185628742513</v>
      </c>
      <c r="Q97">
        <f>IF(P96&gt;1000,1,0)</f>
        <v>1</v>
      </c>
    </row>
    <row r="98" spans="1:17" x14ac:dyDescent="0.25">
      <c r="A98">
        <v>97</v>
      </c>
      <c r="B98">
        <v>455937</v>
      </c>
      <c r="C98">
        <v>354</v>
      </c>
      <c r="D98">
        <v>1</v>
      </c>
      <c r="E98">
        <v>8</v>
      </c>
      <c r="F98">
        <v>2</v>
      </c>
      <c r="G98">
        <v>1</v>
      </c>
      <c r="H98">
        <v>206</v>
      </c>
      <c r="I98">
        <v>1</v>
      </c>
      <c r="J98">
        <v>1</v>
      </c>
      <c r="L98">
        <f t="shared" si="4"/>
        <v>354</v>
      </c>
      <c r="M98" s="2">
        <f t="shared" si="5"/>
        <v>455.93700000000001</v>
      </c>
      <c r="O98">
        <f t="shared" si="6"/>
        <v>354</v>
      </c>
      <c r="P98" s="1">
        <f t="shared" si="7"/>
        <v>1287.957627118644</v>
      </c>
      <c r="Q98">
        <f>IF(P97&gt;1000,1,0)</f>
        <v>0</v>
      </c>
    </row>
    <row r="99" spans="1:17" x14ac:dyDescent="0.25">
      <c r="A99">
        <v>98</v>
      </c>
      <c r="B99">
        <v>507360</v>
      </c>
      <c r="C99">
        <v>354</v>
      </c>
      <c r="D99">
        <v>4</v>
      </c>
      <c r="E99">
        <v>6</v>
      </c>
      <c r="F99">
        <v>2</v>
      </c>
      <c r="G99">
        <v>1</v>
      </c>
      <c r="H99">
        <v>506</v>
      </c>
      <c r="I99">
        <v>1</v>
      </c>
      <c r="J99">
        <v>1</v>
      </c>
      <c r="L99">
        <f t="shared" si="4"/>
        <v>354</v>
      </c>
      <c r="M99" s="2">
        <f t="shared" si="5"/>
        <v>507.36</v>
      </c>
      <c r="O99">
        <f t="shared" si="6"/>
        <v>354</v>
      </c>
      <c r="P99" s="1">
        <f t="shared" si="7"/>
        <v>1433.2203389830509</v>
      </c>
      <c r="Q99">
        <f>IF(P98&gt;1000,1,0)</f>
        <v>1</v>
      </c>
    </row>
    <row r="100" spans="1:17" x14ac:dyDescent="0.25">
      <c r="A100">
        <v>99</v>
      </c>
      <c r="B100">
        <v>229318</v>
      </c>
      <c r="C100">
        <v>204</v>
      </c>
      <c r="D100">
        <v>1</v>
      </c>
      <c r="E100">
        <v>2</v>
      </c>
      <c r="F100">
        <v>1</v>
      </c>
      <c r="G100">
        <v>0</v>
      </c>
      <c r="H100">
        <v>477</v>
      </c>
      <c r="I100">
        <v>1</v>
      </c>
      <c r="J100">
        <v>0</v>
      </c>
      <c r="L100">
        <f t="shared" si="4"/>
        <v>204</v>
      </c>
      <c r="M100" s="2">
        <f t="shared" si="5"/>
        <v>229.31800000000001</v>
      </c>
      <c r="O100">
        <f t="shared" si="6"/>
        <v>204</v>
      </c>
      <c r="P100" s="1">
        <f t="shared" si="7"/>
        <v>1124.1078431372548</v>
      </c>
      <c r="Q100">
        <f>IF(P99&gt;1000,1,0)</f>
        <v>1</v>
      </c>
    </row>
    <row r="101" spans="1:17" x14ac:dyDescent="0.25">
      <c r="A101">
        <v>100</v>
      </c>
      <c r="B101">
        <v>365750</v>
      </c>
      <c r="C101">
        <v>282</v>
      </c>
      <c r="D101">
        <v>1</v>
      </c>
      <c r="E101">
        <v>3</v>
      </c>
      <c r="F101">
        <v>2</v>
      </c>
      <c r="G101">
        <v>0</v>
      </c>
      <c r="H101">
        <v>383</v>
      </c>
      <c r="I101">
        <v>1</v>
      </c>
      <c r="J101">
        <v>0</v>
      </c>
      <c r="L101">
        <f t="shared" si="4"/>
        <v>282</v>
      </c>
      <c r="M101" s="2">
        <f t="shared" si="5"/>
        <v>365.75</v>
      </c>
      <c r="O101">
        <f t="shared" si="6"/>
        <v>282</v>
      </c>
      <c r="P101" s="1">
        <f t="shared" si="7"/>
        <v>1296.985815602837</v>
      </c>
      <c r="Q101">
        <f>IF(P100&gt;1000,1,0)</f>
        <v>1</v>
      </c>
    </row>
    <row r="102" spans="1:17" x14ac:dyDescent="0.25">
      <c r="A102">
        <v>101</v>
      </c>
      <c r="B102">
        <v>387618</v>
      </c>
      <c r="C102">
        <v>274</v>
      </c>
      <c r="D102">
        <v>1</v>
      </c>
      <c r="E102">
        <v>4</v>
      </c>
      <c r="F102">
        <v>4</v>
      </c>
      <c r="G102">
        <v>0</v>
      </c>
      <c r="H102">
        <v>554</v>
      </c>
      <c r="I102">
        <v>1</v>
      </c>
      <c r="J102">
        <v>1</v>
      </c>
      <c r="L102">
        <f t="shared" si="4"/>
        <v>274</v>
      </c>
      <c r="M102" s="2">
        <f t="shared" si="5"/>
        <v>387.61799999999999</v>
      </c>
      <c r="O102">
        <f t="shared" si="6"/>
        <v>274</v>
      </c>
      <c r="P102" s="1">
        <f t="shared" si="7"/>
        <v>1414.6642335766423</v>
      </c>
      <c r="Q102">
        <f>IF(P101&gt;1000,1,0)</f>
        <v>1</v>
      </c>
    </row>
    <row r="103" spans="1:17" x14ac:dyDescent="0.25">
      <c r="A103">
        <v>102</v>
      </c>
      <c r="B103">
        <v>398477</v>
      </c>
      <c r="C103">
        <v>274</v>
      </c>
      <c r="D103">
        <v>1</v>
      </c>
      <c r="E103">
        <v>5</v>
      </c>
      <c r="F103">
        <v>4</v>
      </c>
      <c r="G103">
        <v>0</v>
      </c>
      <c r="H103">
        <v>554</v>
      </c>
      <c r="I103">
        <v>1</v>
      </c>
      <c r="J103">
        <v>1</v>
      </c>
      <c r="L103">
        <f t="shared" si="4"/>
        <v>274</v>
      </c>
      <c r="M103" s="2">
        <f t="shared" si="5"/>
        <v>398.47699999999998</v>
      </c>
      <c r="O103">
        <f t="shared" si="6"/>
        <v>274</v>
      </c>
      <c r="P103" s="1">
        <f t="shared" si="7"/>
        <v>1454.2956204379561</v>
      </c>
      <c r="Q103">
        <f>IF(P102&gt;1000,1,0)</f>
        <v>1</v>
      </c>
    </row>
    <row r="104" spans="1:17" x14ac:dyDescent="0.25">
      <c r="A104">
        <v>103</v>
      </c>
      <c r="B104">
        <v>133000</v>
      </c>
      <c r="C104">
        <v>145</v>
      </c>
      <c r="D104">
        <v>6</v>
      </c>
      <c r="E104">
        <v>3</v>
      </c>
      <c r="F104">
        <v>1</v>
      </c>
      <c r="G104">
        <v>0</v>
      </c>
      <c r="H104">
        <v>172</v>
      </c>
      <c r="I104">
        <v>0</v>
      </c>
      <c r="J104">
        <v>0</v>
      </c>
      <c r="L104">
        <f t="shared" si="4"/>
        <v>145</v>
      </c>
      <c r="M104" s="2">
        <f t="shared" si="5"/>
        <v>133</v>
      </c>
      <c r="O104">
        <f t="shared" si="6"/>
        <v>145</v>
      </c>
      <c r="P104" s="1">
        <f t="shared" si="7"/>
        <v>917.24137931034488</v>
      </c>
      <c r="Q104">
        <f>IF(P103&gt;1000,1,0)</f>
        <v>1</v>
      </c>
    </row>
    <row r="105" spans="1:17" x14ac:dyDescent="0.25">
      <c r="A105">
        <v>104</v>
      </c>
      <c r="B105">
        <v>280000</v>
      </c>
      <c r="C105">
        <v>250</v>
      </c>
      <c r="D105">
        <v>2</v>
      </c>
      <c r="E105">
        <v>6</v>
      </c>
      <c r="F105">
        <v>1</v>
      </c>
      <c r="G105">
        <v>0</v>
      </c>
      <c r="H105">
        <v>104</v>
      </c>
      <c r="I105">
        <v>0</v>
      </c>
      <c r="J105">
        <v>1</v>
      </c>
      <c r="L105">
        <f t="shared" si="4"/>
        <v>250</v>
      </c>
      <c r="M105" s="2">
        <f t="shared" si="5"/>
        <v>280</v>
      </c>
      <c r="O105">
        <f t="shared" si="6"/>
        <v>250</v>
      </c>
      <c r="P105" s="1">
        <f t="shared" si="7"/>
        <v>1120</v>
      </c>
      <c r="Q105">
        <f>IF(P104&gt;1000,1,0)</f>
        <v>0</v>
      </c>
    </row>
    <row r="106" spans="1:17" x14ac:dyDescent="0.25">
      <c r="A106">
        <v>105</v>
      </c>
      <c r="B106">
        <v>168000</v>
      </c>
      <c r="C106">
        <v>142</v>
      </c>
      <c r="D106">
        <v>5</v>
      </c>
      <c r="E106">
        <v>7</v>
      </c>
      <c r="F106">
        <v>1</v>
      </c>
      <c r="G106">
        <v>0</v>
      </c>
      <c r="H106">
        <v>538</v>
      </c>
      <c r="I106">
        <v>0</v>
      </c>
      <c r="J106">
        <v>0</v>
      </c>
      <c r="L106">
        <f t="shared" si="4"/>
        <v>142</v>
      </c>
      <c r="M106" s="2">
        <f t="shared" si="5"/>
        <v>168</v>
      </c>
      <c r="O106">
        <f t="shared" si="6"/>
        <v>142</v>
      </c>
      <c r="P106" s="1">
        <f t="shared" si="7"/>
        <v>1183.0985915492959</v>
      </c>
      <c r="Q106">
        <f>IF(P105&gt;1000,1,0)</f>
        <v>1</v>
      </c>
    </row>
    <row r="107" spans="1:17" x14ac:dyDescent="0.25">
      <c r="A107">
        <v>106</v>
      </c>
      <c r="B107">
        <v>182000</v>
      </c>
      <c r="C107">
        <v>141</v>
      </c>
      <c r="D107">
        <v>5</v>
      </c>
      <c r="E107">
        <v>5</v>
      </c>
      <c r="F107">
        <v>1</v>
      </c>
      <c r="G107">
        <v>0</v>
      </c>
      <c r="H107">
        <v>603</v>
      </c>
      <c r="I107">
        <v>1</v>
      </c>
      <c r="J107">
        <v>0</v>
      </c>
      <c r="L107">
        <f t="shared" si="4"/>
        <v>141</v>
      </c>
      <c r="M107" s="2">
        <f t="shared" si="5"/>
        <v>182</v>
      </c>
      <c r="O107">
        <f t="shared" si="6"/>
        <v>141</v>
      </c>
      <c r="P107" s="1">
        <f t="shared" si="7"/>
        <v>1290.7801418439717</v>
      </c>
      <c r="Q107">
        <f>IF(P106&gt;1000,1,0)</f>
        <v>1</v>
      </c>
    </row>
    <row r="108" spans="1:17" x14ac:dyDescent="0.25">
      <c r="A108">
        <v>107</v>
      </c>
      <c r="B108">
        <v>203000</v>
      </c>
      <c r="C108">
        <v>146</v>
      </c>
      <c r="D108">
        <v>1</v>
      </c>
      <c r="E108">
        <v>6</v>
      </c>
      <c r="F108">
        <v>1</v>
      </c>
      <c r="G108">
        <v>0</v>
      </c>
      <c r="H108">
        <v>1084</v>
      </c>
      <c r="I108">
        <v>1</v>
      </c>
      <c r="J108">
        <v>1</v>
      </c>
      <c r="L108">
        <f t="shared" si="4"/>
        <v>146</v>
      </c>
      <c r="M108" s="2">
        <f t="shared" si="5"/>
        <v>203</v>
      </c>
      <c r="O108">
        <f t="shared" si="6"/>
        <v>146</v>
      </c>
      <c r="P108" s="1">
        <f t="shared" si="7"/>
        <v>1390.4109589041095</v>
      </c>
      <c r="Q108">
        <f>IF(P107&gt;1000,1,0)</f>
        <v>1</v>
      </c>
    </row>
    <row r="109" spans="1:17" x14ac:dyDescent="0.25">
      <c r="A109">
        <v>108</v>
      </c>
      <c r="B109">
        <v>119000</v>
      </c>
      <c r="C109">
        <v>162</v>
      </c>
      <c r="D109">
        <v>1</v>
      </c>
      <c r="E109">
        <v>1</v>
      </c>
      <c r="F109">
        <v>1</v>
      </c>
      <c r="G109">
        <v>0</v>
      </c>
      <c r="H109">
        <v>330</v>
      </c>
      <c r="I109">
        <v>0</v>
      </c>
      <c r="J109">
        <v>0</v>
      </c>
      <c r="L109">
        <f t="shared" si="4"/>
        <v>162</v>
      </c>
      <c r="M109" s="2">
        <f t="shared" si="5"/>
        <v>119</v>
      </c>
      <c r="O109">
        <f t="shared" si="6"/>
        <v>162</v>
      </c>
      <c r="P109" s="1">
        <f t="shared" si="7"/>
        <v>734.5679012345679</v>
      </c>
      <c r="Q109">
        <f>IF(P108&gt;1000,1,0)</f>
        <v>1</v>
      </c>
    </row>
    <row r="110" spans="1:17" x14ac:dyDescent="0.25">
      <c r="A110">
        <v>109</v>
      </c>
      <c r="B110">
        <v>145600</v>
      </c>
      <c r="C110">
        <v>117</v>
      </c>
      <c r="D110">
        <v>1</v>
      </c>
      <c r="E110">
        <v>5</v>
      </c>
      <c r="F110">
        <v>1</v>
      </c>
      <c r="G110">
        <v>0</v>
      </c>
      <c r="H110">
        <v>1268</v>
      </c>
      <c r="I110">
        <v>0</v>
      </c>
      <c r="J110">
        <v>0</v>
      </c>
      <c r="L110">
        <f t="shared" si="4"/>
        <v>117</v>
      </c>
      <c r="M110" s="2">
        <f t="shared" si="5"/>
        <v>145.6</v>
      </c>
      <c r="O110">
        <f t="shared" si="6"/>
        <v>117</v>
      </c>
      <c r="P110" s="1">
        <f t="shared" si="7"/>
        <v>1244.4444444444443</v>
      </c>
      <c r="Q110">
        <f>IF(P109&gt;1000,1,0)</f>
        <v>0</v>
      </c>
    </row>
    <row r="111" spans="1:17" x14ac:dyDescent="0.25">
      <c r="A111">
        <v>110</v>
      </c>
      <c r="B111">
        <v>119000</v>
      </c>
      <c r="C111">
        <v>117</v>
      </c>
      <c r="D111">
        <v>1</v>
      </c>
      <c r="E111">
        <v>5</v>
      </c>
      <c r="F111">
        <v>0</v>
      </c>
      <c r="G111">
        <v>0</v>
      </c>
      <c r="H111">
        <v>936</v>
      </c>
      <c r="I111">
        <v>0</v>
      </c>
      <c r="J111">
        <v>0</v>
      </c>
      <c r="L111">
        <f t="shared" si="4"/>
        <v>117</v>
      </c>
      <c r="M111" s="2">
        <f t="shared" si="5"/>
        <v>119</v>
      </c>
      <c r="O111">
        <f t="shared" si="6"/>
        <v>117</v>
      </c>
      <c r="P111" s="1">
        <f t="shared" si="7"/>
        <v>1017.0940170940171</v>
      </c>
      <c r="Q111">
        <f>IF(P110&gt;1000,1,0)</f>
        <v>1</v>
      </c>
    </row>
    <row r="112" spans="1:17" x14ac:dyDescent="0.25">
      <c r="A112">
        <v>111</v>
      </c>
      <c r="B112">
        <v>210000</v>
      </c>
      <c r="C112">
        <v>158</v>
      </c>
      <c r="D112">
        <v>1</v>
      </c>
      <c r="E112">
        <v>9</v>
      </c>
      <c r="F112">
        <v>1</v>
      </c>
      <c r="G112">
        <v>0</v>
      </c>
      <c r="H112">
        <v>1101</v>
      </c>
      <c r="I112">
        <v>1</v>
      </c>
      <c r="J112">
        <v>1</v>
      </c>
      <c r="L112">
        <f t="shared" si="4"/>
        <v>158</v>
      </c>
      <c r="M112" s="2">
        <f t="shared" si="5"/>
        <v>210</v>
      </c>
      <c r="O112">
        <f t="shared" si="6"/>
        <v>158</v>
      </c>
      <c r="P112" s="1">
        <f t="shared" si="7"/>
        <v>1329.1139240506329</v>
      </c>
      <c r="Q112">
        <f>IF(P111&gt;1000,1,0)</f>
        <v>1</v>
      </c>
    </row>
    <row r="113" spans="1:17" x14ac:dyDescent="0.25">
      <c r="A113">
        <v>112</v>
      </c>
      <c r="B113">
        <v>154000</v>
      </c>
      <c r="C113">
        <v>145</v>
      </c>
      <c r="D113">
        <v>1</v>
      </c>
      <c r="E113">
        <v>4</v>
      </c>
      <c r="F113">
        <v>1</v>
      </c>
      <c r="G113">
        <v>0</v>
      </c>
      <c r="H113">
        <v>648</v>
      </c>
      <c r="I113">
        <v>1</v>
      </c>
      <c r="J113">
        <v>0</v>
      </c>
      <c r="L113">
        <f t="shared" si="4"/>
        <v>145</v>
      </c>
      <c r="M113" s="2">
        <f t="shared" si="5"/>
        <v>154</v>
      </c>
      <c r="O113">
        <f t="shared" si="6"/>
        <v>145</v>
      </c>
      <c r="P113" s="1">
        <f t="shared" si="7"/>
        <v>1062.0689655172414</v>
      </c>
      <c r="Q113">
        <f>IF(P112&gt;1000,1,0)</f>
        <v>1</v>
      </c>
    </row>
    <row r="114" spans="1:17" x14ac:dyDescent="0.25">
      <c r="A114">
        <v>113</v>
      </c>
      <c r="B114">
        <v>168000</v>
      </c>
      <c r="C114">
        <v>145</v>
      </c>
      <c r="D114">
        <v>1</v>
      </c>
      <c r="E114">
        <v>5</v>
      </c>
      <c r="F114">
        <v>1</v>
      </c>
      <c r="G114">
        <v>0</v>
      </c>
      <c r="H114">
        <v>648</v>
      </c>
      <c r="I114">
        <v>1</v>
      </c>
      <c r="J114">
        <v>0</v>
      </c>
      <c r="L114">
        <f t="shared" si="4"/>
        <v>145</v>
      </c>
      <c r="M114" s="2">
        <f t="shared" si="5"/>
        <v>168</v>
      </c>
      <c r="O114">
        <f t="shared" si="6"/>
        <v>145</v>
      </c>
      <c r="P114" s="1">
        <f t="shared" si="7"/>
        <v>1158.6206896551723</v>
      </c>
      <c r="Q114">
        <f>IF(P113&gt;1000,1,0)</f>
        <v>1</v>
      </c>
    </row>
    <row r="115" spans="1:17" x14ac:dyDescent="0.25">
      <c r="A115">
        <v>114</v>
      </c>
      <c r="B115">
        <v>123200</v>
      </c>
      <c r="C115">
        <v>122</v>
      </c>
      <c r="D115">
        <v>6</v>
      </c>
      <c r="E115">
        <v>2</v>
      </c>
      <c r="F115">
        <v>0</v>
      </c>
      <c r="G115">
        <v>0</v>
      </c>
      <c r="H115">
        <v>348</v>
      </c>
      <c r="I115">
        <v>1</v>
      </c>
      <c r="J115">
        <v>0</v>
      </c>
      <c r="L115">
        <f t="shared" si="4"/>
        <v>122</v>
      </c>
      <c r="M115" s="2">
        <f t="shared" si="5"/>
        <v>123.2</v>
      </c>
      <c r="O115">
        <f t="shared" si="6"/>
        <v>122</v>
      </c>
      <c r="P115" s="1">
        <f t="shared" si="7"/>
        <v>1009.8360655737705</v>
      </c>
      <c r="Q115">
        <f>IF(P114&gt;1000,1,0)</f>
        <v>1</v>
      </c>
    </row>
    <row r="116" spans="1:17" x14ac:dyDescent="0.25">
      <c r="A116">
        <v>115</v>
      </c>
      <c r="B116">
        <v>161000</v>
      </c>
      <c r="C116">
        <v>126</v>
      </c>
      <c r="D116">
        <v>5</v>
      </c>
      <c r="E116">
        <v>2</v>
      </c>
      <c r="F116">
        <v>1</v>
      </c>
      <c r="G116">
        <v>0</v>
      </c>
      <c r="H116">
        <v>209</v>
      </c>
      <c r="I116">
        <v>1</v>
      </c>
      <c r="J116">
        <v>0</v>
      </c>
      <c r="L116">
        <f t="shared" si="4"/>
        <v>126</v>
      </c>
      <c r="M116" s="2">
        <f t="shared" si="5"/>
        <v>161</v>
      </c>
      <c r="O116">
        <f t="shared" si="6"/>
        <v>126</v>
      </c>
      <c r="P116" s="1">
        <f t="shared" si="7"/>
        <v>1277.7777777777778</v>
      </c>
      <c r="Q116">
        <f>IF(P115&gt;1000,1,0)</f>
        <v>1</v>
      </c>
    </row>
    <row r="117" spans="1:17" x14ac:dyDescent="0.25">
      <c r="A117">
        <v>116</v>
      </c>
      <c r="B117">
        <v>147000</v>
      </c>
      <c r="C117">
        <v>135</v>
      </c>
      <c r="D117">
        <v>2</v>
      </c>
      <c r="E117">
        <v>2</v>
      </c>
      <c r="F117">
        <v>1</v>
      </c>
      <c r="G117">
        <v>0</v>
      </c>
      <c r="H117">
        <v>138</v>
      </c>
      <c r="I117">
        <v>0</v>
      </c>
      <c r="J117">
        <v>0</v>
      </c>
      <c r="L117">
        <f t="shared" si="4"/>
        <v>135</v>
      </c>
      <c r="M117" s="2">
        <f t="shared" si="5"/>
        <v>147</v>
      </c>
      <c r="O117">
        <f t="shared" si="6"/>
        <v>135</v>
      </c>
      <c r="P117" s="1">
        <f t="shared" si="7"/>
        <v>1088.8888888888889</v>
      </c>
      <c r="Q117">
        <f>IF(P116&gt;1000,1,0)</f>
        <v>1</v>
      </c>
    </row>
    <row r="118" spans="1:17" x14ac:dyDescent="0.25">
      <c r="A118">
        <v>117</v>
      </c>
      <c r="B118">
        <v>273000</v>
      </c>
      <c r="C118">
        <v>189</v>
      </c>
      <c r="D118">
        <v>1</v>
      </c>
      <c r="E118">
        <v>5</v>
      </c>
      <c r="F118">
        <v>2</v>
      </c>
      <c r="G118">
        <v>0</v>
      </c>
      <c r="H118">
        <v>575</v>
      </c>
      <c r="I118">
        <v>1</v>
      </c>
      <c r="J118">
        <v>1</v>
      </c>
      <c r="L118">
        <f t="shared" si="4"/>
        <v>189</v>
      </c>
      <c r="M118" s="2">
        <f t="shared" si="5"/>
        <v>273</v>
      </c>
      <c r="O118">
        <f t="shared" si="6"/>
        <v>189</v>
      </c>
      <c r="P118" s="1">
        <f t="shared" si="7"/>
        <v>1444.4444444444443</v>
      </c>
      <c r="Q118">
        <f>IF(P117&gt;1000,1,0)</f>
        <v>1</v>
      </c>
    </row>
    <row r="119" spans="1:17" x14ac:dyDescent="0.25">
      <c r="A119">
        <v>118</v>
      </c>
      <c r="B119">
        <v>252000</v>
      </c>
      <c r="C119">
        <v>173</v>
      </c>
      <c r="D119">
        <v>1</v>
      </c>
      <c r="E119">
        <v>5</v>
      </c>
      <c r="F119">
        <v>3</v>
      </c>
      <c r="G119">
        <v>0</v>
      </c>
      <c r="H119">
        <v>575</v>
      </c>
      <c r="I119">
        <v>1</v>
      </c>
      <c r="J119">
        <v>1</v>
      </c>
      <c r="L119">
        <f t="shared" si="4"/>
        <v>173</v>
      </c>
      <c r="M119" s="2">
        <f t="shared" si="5"/>
        <v>252</v>
      </c>
      <c r="O119">
        <f t="shared" si="6"/>
        <v>173</v>
      </c>
      <c r="P119" s="1">
        <f t="shared" si="7"/>
        <v>1456.6473988439307</v>
      </c>
      <c r="Q119">
        <f>IF(P118&gt;1000,1,0)</f>
        <v>1</v>
      </c>
    </row>
    <row r="120" spans="1:17" x14ac:dyDescent="0.25">
      <c r="A120">
        <v>119</v>
      </c>
      <c r="B120">
        <v>189000</v>
      </c>
      <c r="C120">
        <v>180</v>
      </c>
      <c r="D120">
        <v>15</v>
      </c>
      <c r="E120">
        <v>3</v>
      </c>
      <c r="F120">
        <v>1</v>
      </c>
      <c r="G120">
        <v>0</v>
      </c>
      <c r="H120">
        <v>303</v>
      </c>
      <c r="I120">
        <v>0</v>
      </c>
      <c r="J120">
        <v>0</v>
      </c>
      <c r="L120">
        <f t="shared" si="4"/>
        <v>180</v>
      </c>
      <c r="M120" s="2">
        <f t="shared" si="5"/>
        <v>189</v>
      </c>
      <c r="O120">
        <f t="shared" si="6"/>
        <v>180</v>
      </c>
      <c r="P120" s="1">
        <f t="shared" si="7"/>
        <v>1050</v>
      </c>
      <c r="Q120">
        <f>IF(P119&gt;1000,1,0)</f>
        <v>1</v>
      </c>
    </row>
    <row r="121" spans="1:17" x14ac:dyDescent="0.25">
      <c r="A121">
        <v>120</v>
      </c>
      <c r="B121">
        <v>259000</v>
      </c>
      <c r="C121">
        <v>226</v>
      </c>
      <c r="D121">
        <v>17</v>
      </c>
      <c r="E121">
        <v>5</v>
      </c>
      <c r="F121">
        <v>1</v>
      </c>
      <c r="G121">
        <v>0</v>
      </c>
      <c r="H121">
        <v>1859</v>
      </c>
      <c r="I121">
        <v>1</v>
      </c>
      <c r="J121">
        <v>0</v>
      </c>
      <c r="L121">
        <f t="shared" si="4"/>
        <v>226</v>
      </c>
      <c r="M121" s="2">
        <f t="shared" si="5"/>
        <v>259</v>
      </c>
      <c r="O121">
        <f t="shared" si="6"/>
        <v>226</v>
      </c>
      <c r="P121" s="1">
        <f t="shared" si="7"/>
        <v>1146.0176991150443</v>
      </c>
      <c r="Q121">
        <f>IF(P120&gt;1000,1,0)</f>
        <v>1</v>
      </c>
    </row>
    <row r="122" spans="1:17" x14ac:dyDescent="0.25">
      <c r="A122">
        <v>121</v>
      </c>
      <c r="B122">
        <v>266000</v>
      </c>
      <c r="C122">
        <v>234</v>
      </c>
      <c r="D122">
        <v>6</v>
      </c>
      <c r="E122">
        <v>3</v>
      </c>
      <c r="F122">
        <v>1</v>
      </c>
      <c r="G122">
        <v>0</v>
      </c>
      <c r="H122">
        <v>699</v>
      </c>
      <c r="I122">
        <v>1</v>
      </c>
      <c r="J122">
        <v>0</v>
      </c>
      <c r="L122">
        <f t="shared" si="4"/>
        <v>234</v>
      </c>
      <c r="M122" s="2">
        <f t="shared" si="5"/>
        <v>266</v>
      </c>
      <c r="O122">
        <f t="shared" si="6"/>
        <v>234</v>
      </c>
      <c r="P122" s="1">
        <f t="shared" si="7"/>
        <v>1136.7521367521367</v>
      </c>
      <c r="Q122">
        <f>IF(P121&gt;1000,1,0)</f>
        <v>1</v>
      </c>
    </row>
    <row r="123" spans="1:17" x14ac:dyDescent="0.25">
      <c r="A123">
        <v>122</v>
      </c>
      <c r="B123">
        <v>133000</v>
      </c>
      <c r="C123">
        <v>173</v>
      </c>
      <c r="D123">
        <v>13</v>
      </c>
      <c r="E123">
        <v>1</v>
      </c>
      <c r="F123">
        <v>1</v>
      </c>
      <c r="G123">
        <v>0</v>
      </c>
      <c r="H123">
        <v>111</v>
      </c>
      <c r="I123">
        <v>0</v>
      </c>
      <c r="J123">
        <v>0</v>
      </c>
      <c r="L123">
        <f t="shared" si="4"/>
        <v>173</v>
      </c>
      <c r="M123" s="2">
        <f t="shared" si="5"/>
        <v>133</v>
      </c>
      <c r="O123">
        <f t="shared" si="6"/>
        <v>173</v>
      </c>
      <c r="P123" s="1">
        <f t="shared" si="7"/>
        <v>768.78612716763007</v>
      </c>
      <c r="Q123">
        <f>IF(P122&gt;1000,1,0)</f>
        <v>1</v>
      </c>
    </row>
    <row r="124" spans="1:17" x14ac:dyDescent="0.25">
      <c r="A124">
        <v>123</v>
      </c>
      <c r="B124">
        <v>112000</v>
      </c>
      <c r="C124">
        <v>104</v>
      </c>
      <c r="D124">
        <v>16</v>
      </c>
      <c r="E124">
        <v>2</v>
      </c>
      <c r="F124">
        <v>0</v>
      </c>
      <c r="G124">
        <v>0</v>
      </c>
      <c r="H124">
        <v>444</v>
      </c>
      <c r="I124">
        <v>1</v>
      </c>
      <c r="J124">
        <v>1</v>
      </c>
      <c r="L124">
        <f t="shared" si="4"/>
        <v>104</v>
      </c>
      <c r="M124" s="2">
        <f t="shared" si="5"/>
        <v>112</v>
      </c>
      <c r="O124">
        <f t="shared" si="6"/>
        <v>104</v>
      </c>
      <c r="P124" s="1">
        <f t="shared" si="7"/>
        <v>1076.9230769230769</v>
      </c>
      <c r="Q124">
        <f>IF(P123&gt;1000,1,0)</f>
        <v>0</v>
      </c>
    </row>
    <row r="125" spans="1:17" x14ac:dyDescent="0.25">
      <c r="A125">
        <v>124</v>
      </c>
      <c r="B125">
        <v>336000</v>
      </c>
      <c r="C125">
        <v>333</v>
      </c>
      <c r="D125">
        <v>11</v>
      </c>
      <c r="E125">
        <v>2</v>
      </c>
      <c r="F125">
        <v>3</v>
      </c>
      <c r="G125">
        <v>0</v>
      </c>
      <c r="H125">
        <v>186</v>
      </c>
      <c r="I125">
        <v>0</v>
      </c>
      <c r="J125">
        <v>0</v>
      </c>
      <c r="L125">
        <f t="shared" si="4"/>
        <v>333</v>
      </c>
      <c r="M125" s="2">
        <f t="shared" si="5"/>
        <v>336</v>
      </c>
      <c r="O125">
        <f t="shared" si="6"/>
        <v>333</v>
      </c>
      <c r="P125" s="1">
        <f t="shared" si="7"/>
        <v>1009.009009009009</v>
      </c>
      <c r="Q125">
        <f>IF(P124&gt;1000,1,0)</f>
        <v>1</v>
      </c>
    </row>
    <row r="126" spans="1:17" x14ac:dyDescent="0.25">
      <c r="A126">
        <v>125</v>
      </c>
      <c r="B126">
        <v>70000</v>
      </c>
      <c r="C126">
        <v>95</v>
      </c>
      <c r="D126">
        <v>16</v>
      </c>
      <c r="E126">
        <v>1</v>
      </c>
      <c r="F126">
        <v>0</v>
      </c>
      <c r="G126">
        <v>0</v>
      </c>
      <c r="H126">
        <v>526</v>
      </c>
      <c r="I126">
        <v>1</v>
      </c>
      <c r="J126">
        <v>0</v>
      </c>
      <c r="L126">
        <f t="shared" si="4"/>
        <v>95</v>
      </c>
      <c r="M126" s="2">
        <f t="shared" si="5"/>
        <v>70</v>
      </c>
      <c r="O126">
        <f t="shared" si="6"/>
        <v>95</v>
      </c>
      <c r="P126" s="1">
        <f t="shared" si="7"/>
        <v>736.84210526315792</v>
      </c>
      <c r="Q126">
        <f>IF(P125&gt;1000,1,0)</f>
        <v>1</v>
      </c>
    </row>
    <row r="127" spans="1:17" x14ac:dyDescent="0.25">
      <c r="A127">
        <v>126</v>
      </c>
      <c r="B127">
        <v>126000</v>
      </c>
      <c r="C127">
        <v>154</v>
      </c>
      <c r="D127">
        <v>13</v>
      </c>
      <c r="E127">
        <v>1</v>
      </c>
      <c r="F127">
        <v>0</v>
      </c>
      <c r="G127">
        <v>1</v>
      </c>
      <c r="H127">
        <v>898</v>
      </c>
      <c r="I127">
        <v>1</v>
      </c>
      <c r="J127">
        <v>1</v>
      </c>
      <c r="L127">
        <f t="shared" si="4"/>
        <v>154</v>
      </c>
      <c r="M127" s="2">
        <f t="shared" si="5"/>
        <v>126</v>
      </c>
      <c r="O127">
        <f t="shared" si="6"/>
        <v>154</v>
      </c>
      <c r="P127" s="1">
        <f t="shared" si="7"/>
        <v>818.18181818181813</v>
      </c>
      <c r="Q127">
        <f>IF(P126&gt;1000,1,0)</f>
        <v>0</v>
      </c>
    </row>
    <row r="128" spans="1:17" x14ac:dyDescent="0.25">
      <c r="A128">
        <v>127</v>
      </c>
      <c r="B128">
        <v>154000</v>
      </c>
      <c r="C128">
        <v>156</v>
      </c>
      <c r="D128">
        <v>11</v>
      </c>
      <c r="E128">
        <v>2</v>
      </c>
      <c r="F128">
        <v>1</v>
      </c>
      <c r="G128">
        <v>0</v>
      </c>
      <c r="H128">
        <v>448</v>
      </c>
      <c r="I128">
        <v>1</v>
      </c>
      <c r="J128">
        <v>1</v>
      </c>
      <c r="L128">
        <f t="shared" si="4"/>
        <v>156</v>
      </c>
      <c r="M128" s="2">
        <f t="shared" si="5"/>
        <v>154</v>
      </c>
      <c r="O128">
        <f t="shared" si="6"/>
        <v>156</v>
      </c>
      <c r="P128" s="1">
        <f t="shared" si="7"/>
        <v>987.17948717948718</v>
      </c>
      <c r="Q128">
        <f>IF(P127&gt;1000,1,0)</f>
        <v>0</v>
      </c>
    </row>
    <row r="129" spans="1:17" x14ac:dyDescent="0.25">
      <c r="A129">
        <v>128</v>
      </c>
      <c r="B129">
        <v>174961</v>
      </c>
      <c r="C129">
        <v>162</v>
      </c>
      <c r="D129">
        <v>1</v>
      </c>
      <c r="E129">
        <v>5</v>
      </c>
      <c r="F129">
        <v>1</v>
      </c>
      <c r="G129">
        <v>0</v>
      </c>
      <c r="H129">
        <v>330</v>
      </c>
      <c r="I129">
        <v>0</v>
      </c>
      <c r="J129">
        <v>0</v>
      </c>
      <c r="L129">
        <f t="shared" si="4"/>
        <v>162</v>
      </c>
      <c r="M129" s="2">
        <f t="shared" si="5"/>
        <v>174.96100000000001</v>
      </c>
      <c r="O129">
        <f t="shared" si="6"/>
        <v>162</v>
      </c>
      <c r="P129" s="1">
        <f t="shared" si="7"/>
        <v>1080.0061728395062</v>
      </c>
      <c r="Q129">
        <f>IF(P128&gt;1000,1,0)</f>
        <v>0</v>
      </c>
    </row>
    <row r="130" spans="1:17" x14ac:dyDescent="0.25">
      <c r="A130">
        <v>129</v>
      </c>
      <c r="B130">
        <v>126000</v>
      </c>
      <c r="C130">
        <v>144</v>
      </c>
      <c r="D130">
        <v>13</v>
      </c>
      <c r="E130">
        <v>7</v>
      </c>
      <c r="F130">
        <v>1</v>
      </c>
      <c r="G130">
        <v>0</v>
      </c>
      <c r="H130">
        <v>172</v>
      </c>
      <c r="I130">
        <v>0</v>
      </c>
      <c r="J130">
        <v>0</v>
      </c>
      <c r="L130">
        <f t="shared" si="4"/>
        <v>144</v>
      </c>
      <c r="M130" s="2">
        <f t="shared" si="5"/>
        <v>126</v>
      </c>
      <c r="O130">
        <f t="shared" si="6"/>
        <v>144</v>
      </c>
      <c r="P130" s="1">
        <f t="shared" si="7"/>
        <v>875</v>
      </c>
      <c r="Q130">
        <f>IF(P129&gt;1000,1,0)</f>
        <v>1</v>
      </c>
    </row>
    <row r="131" spans="1:17" x14ac:dyDescent="0.25">
      <c r="A131">
        <v>130</v>
      </c>
      <c r="B131">
        <v>256000</v>
      </c>
      <c r="C131">
        <v>131</v>
      </c>
      <c r="D131">
        <v>1</v>
      </c>
      <c r="E131">
        <v>5</v>
      </c>
      <c r="F131">
        <v>2</v>
      </c>
      <c r="G131">
        <v>1</v>
      </c>
      <c r="H131">
        <v>325</v>
      </c>
      <c r="I131">
        <v>1</v>
      </c>
      <c r="J131">
        <v>0</v>
      </c>
      <c r="L131">
        <f t="shared" ref="L131:L173" si="8">C131</f>
        <v>131</v>
      </c>
      <c r="M131" s="2">
        <f t="shared" ref="M131:M173" si="9">B131/1000</f>
        <v>256</v>
      </c>
      <c r="O131">
        <f t="shared" ref="O131:O173" si="10">L131</f>
        <v>131</v>
      </c>
      <c r="P131" s="1">
        <f t="shared" ref="P131:P173" si="11">B131/C131</f>
        <v>1954.1984732824428</v>
      </c>
      <c r="Q131">
        <f>IF(P130&gt;1000,1,0)</f>
        <v>0</v>
      </c>
    </row>
    <row r="132" spans="1:17" x14ac:dyDescent="0.25">
      <c r="A132">
        <v>131</v>
      </c>
      <c r="B132">
        <v>107200</v>
      </c>
      <c r="C132">
        <v>101</v>
      </c>
      <c r="D132">
        <v>1</v>
      </c>
      <c r="E132">
        <v>6</v>
      </c>
      <c r="F132">
        <v>0</v>
      </c>
      <c r="G132">
        <v>0</v>
      </c>
      <c r="H132">
        <v>1664</v>
      </c>
      <c r="I132">
        <v>1</v>
      </c>
      <c r="J132">
        <v>0</v>
      </c>
      <c r="L132">
        <f t="shared" si="8"/>
        <v>101</v>
      </c>
      <c r="M132" s="2">
        <f t="shared" si="9"/>
        <v>107.2</v>
      </c>
      <c r="O132">
        <f t="shared" si="10"/>
        <v>101</v>
      </c>
      <c r="P132" s="1">
        <f t="shared" si="11"/>
        <v>1061.3861386138615</v>
      </c>
      <c r="Q132">
        <f>IF(P131&gt;1000,1,0)</f>
        <v>1</v>
      </c>
    </row>
    <row r="133" spans="1:17" x14ac:dyDescent="0.25">
      <c r="A133">
        <v>132</v>
      </c>
      <c r="B133">
        <v>304000</v>
      </c>
      <c r="C133">
        <v>170</v>
      </c>
      <c r="D133">
        <v>1</v>
      </c>
      <c r="E133">
        <v>8</v>
      </c>
      <c r="F133">
        <v>2</v>
      </c>
      <c r="G133">
        <v>1</v>
      </c>
      <c r="H133">
        <v>279</v>
      </c>
      <c r="I133">
        <v>0</v>
      </c>
      <c r="J133">
        <v>1</v>
      </c>
      <c r="L133">
        <f t="shared" si="8"/>
        <v>170</v>
      </c>
      <c r="M133" s="2">
        <f t="shared" si="9"/>
        <v>304</v>
      </c>
      <c r="O133">
        <f t="shared" si="10"/>
        <v>170</v>
      </c>
      <c r="P133" s="1">
        <f t="shared" si="11"/>
        <v>1788.2352941176471</v>
      </c>
      <c r="Q133">
        <f>IF(P132&gt;1000,1,0)</f>
        <v>1</v>
      </c>
    </row>
    <row r="134" spans="1:17" x14ac:dyDescent="0.25">
      <c r="A134">
        <v>133</v>
      </c>
      <c r="B134">
        <v>176000</v>
      </c>
      <c r="C134">
        <v>141</v>
      </c>
      <c r="D134">
        <v>9</v>
      </c>
      <c r="E134">
        <v>4</v>
      </c>
      <c r="F134">
        <v>2</v>
      </c>
      <c r="G134">
        <v>0</v>
      </c>
      <c r="H134">
        <v>272</v>
      </c>
      <c r="I134">
        <v>0</v>
      </c>
      <c r="J134">
        <v>0</v>
      </c>
      <c r="L134">
        <f t="shared" si="8"/>
        <v>141</v>
      </c>
      <c r="M134" s="2">
        <f t="shared" si="9"/>
        <v>176</v>
      </c>
      <c r="O134">
        <f t="shared" si="10"/>
        <v>141</v>
      </c>
      <c r="P134" s="1">
        <f t="shared" si="11"/>
        <v>1248.2269503546099</v>
      </c>
      <c r="Q134">
        <f>IF(P133&gt;1000,1,0)</f>
        <v>1</v>
      </c>
    </row>
    <row r="135" spans="1:17" x14ac:dyDescent="0.25">
      <c r="A135">
        <v>134</v>
      </c>
      <c r="B135">
        <v>112000</v>
      </c>
      <c r="C135">
        <v>94</v>
      </c>
      <c r="D135">
        <v>11</v>
      </c>
      <c r="E135">
        <v>4</v>
      </c>
      <c r="F135">
        <v>2</v>
      </c>
      <c r="G135">
        <v>0</v>
      </c>
      <c r="H135">
        <v>1057</v>
      </c>
      <c r="I135">
        <v>1</v>
      </c>
      <c r="J135">
        <v>0</v>
      </c>
      <c r="L135">
        <f t="shared" si="8"/>
        <v>94</v>
      </c>
      <c r="M135" s="2">
        <f t="shared" si="9"/>
        <v>112</v>
      </c>
      <c r="O135">
        <f t="shared" si="10"/>
        <v>94</v>
      </c>
      <c r="P135" s="1">
        <f t="shared" si="11"/>
        <v>1191.4893617021276</v>
      </c>
      <c r="Q135">
        <f>IF(P134&gt;1000,1,0)</f>
        <v>1</v>
      </c>
    </row>
    <row r="136" spans="1:17" x14ac:dyDescent="0.25">
      <c r="A136">
        <v>135</v>
      </c>
      <c r="B136">
        <v>120000</v>
      </c>
      <c r="C136">
        <v>125</v>
      </c>
      <c r="D136">
        <v>14</v>
      </c>
      <c r="E136">
        <v>3</v>
      </c>
      <c r="F136">
        <v>0</v>
      </c>
      <c r="G136">
        <v>1</v>
      </c>
      <c r="H136">
        <v>95</v>
      </c>
      <c r="I136">
        <v>0</v>
      </c>
      <c r="J136">
        <v>1</v>
      </c>
      <c r="L136">
        <f t="shared" si="8"/>
        <v>125</v>
      </c>
      <c r="M136" s="2">
        <f t="shared" si="9"/>
        <v>120</v>
      </c>
      <c r="O136">
        <f t="shared" si="10"/>
        <v>125</v>
      </c>
      <c r="P136" s="1">
        <f t="shared" si="11"/>
        <v>960</v>
      </c>
      <c r="Q136">
        <f>IF(P135&gt;1000,1,0)</f>
        <v>1</v>
      </c>
    </row>
    <row r="137" spans="1:17" x14ac:dyDescent="0.25">
      <c r="A137">
        <v>136</v>
      </c>
      <c r="B137">
        <v>152000</v>
      </c>
      <c r="C137">
        <v>121</v>
      </c>
      <c r="D137">
        <v>4</v>
      </c>
      <c r="E137">
        <v>4</v>
      </c>
      <c r="F137">
        <v>2</v>
      </c>
      <c r="G137">
        <v>0</v>
      </c>
      <c r="H137">
        <v>1549</v>
      </c>
      <c r="I137">
        <v>1</v>
      </c>
      <c r="J137">
        <v>0</v>
      </c>
      <c r="L137">
        <f t="shared" si="8"/>
        <v>121</v>
      </c>
      <c r="M137" s="2">
        <f t="shared" si="9"/>
        <v>152</v>
      </c>
      <c r="O137">
        <f t="shared" si="10"/>
        <v>121</v>
      </c>
      <c r="P137" s="1">
        <f t="shared" si="11"/>
        <v>1256.1983471074379</v>
      </c>
      <c r="Q137">
        <f>IF(P136&gt;1000,1,0)</f>
        <v>0</v>
      </c>
    </row>
    <row r="138" spans="1:17" x14ac:dyDescent="0.25">
      <c r="A138">
        <v>137</v>
      </c>
      <c r="B138">
        <v>216000</v>
      </c>
      <c r="C138">
        <v>129</v>
      </c>
      <c r="D138">
        <v>1</v>
      </c>
      <c r="E138">
        <v>3</v>
      </c>
      <c r="F138">
        <v>2</v>
      </c>
      <c r="G138">
        <v>1</v>
      </c>
      <c r="H138">
        <v>164</v>
      </c>
      <c r="I138">
        <v>0</v>
      </c>
      <c r="J138">
        <v>1</v>
      </c>
      <c r="L138">
        <f t="shared" si="8"/>
        <v>129</v>
      </c>
      <c r="M138" s="2">
        <f t="shared" si="9"/>
        <v>216</v>
      </c>
      <c r="O138">
        <f t="shared" si="10"/>
        <v>129</v>
      </c>
      <c r="P138" s="1">
        <f t="shared" si="11"/>
        <v>1674.4186046511627</v>
      </c>
      <c r="Q138">
        <f>IF(P137&gt;1000,1,0)</f>
        <v>1</v>
      </c>
    </row>
    <row r="139" spans="1:17" x14ac:dyDescent="0.25">
      <c r="A139">
        <v>138</v>
      </c>
      <c r="B139">
        <v>176000</v>
      </c>
      <c r="C139">
        <v>117</v>
      </c>
      <c r="D139">
        <v>8</v>
      </c>
      <c r="E139">
        <v>4</v>
      </c>
      <c r="F139">
        <v>2</v>
      </c>
      <c r="G139">
        <v>0</v>
      </c>
      <c r="H139">
        <v>159</v>
      </c>
      <c r="I139">
        <v>0</v>
      </c>
      <c r="J139">
        <v>0</v>
      </c>
      <c r="L139">
        <f t="shared" si="8"/>
        <v>117</v>
      </c>
      <c r="M139" s="2">
        <f t="shared" si="9"/>
        <v>176</v>
      </c>
      <c r="O139">
        <f t="shared" si="10"/>
        <v>117</v>
      </c>
      <c r="P139" s="1">
        <f t="shared" si="11"/>
        <v>1504.2735042735044</v>
      </c>
      <c r="Q139">
        <f>IF(P138&gt;1000,1,0)</f>
        <v>1</v>
      </c>
    </row>
    <row r="140" spans="1:17" x14ac:dyDescent="0.25">
      <c r="A140">
        <v>139</v>
      </c>
      <c r="B140">
        <v>184000</v>
      </c>
      <c r="C140">
        <v>145</v>
      </c>
      <c r="D140">
        <v>11</v>
      </c>
      <c r="E140">
        <v>5</v>
      </c>
      <c r="F140">
        <v>2</v>
      </c>
      <c r="G140">
        <v>0</v>
      </c>
      <c r="H140">
        <v>920</v>
      </c>
      <c r="I140">
        <v>0</v>
      </c>
      <c r="J140">
        <v>0</v>
      </c>
      <c r="L140">
        <f t="shared" si="8"/>
        <v>145</v>
      </c>
      <c r="M140" s="2">
        <f t="shared" si="9"/>
        <v>184</v>
      </c>
      <c r="O140">
        <f t="shared" si="10"/>
        <v>145</v>
      </c>
      <c r="P140" s="1">
        <f t="shared" si="11"/>
        <v>1268.9655172413793</v>
      </c>
      <c r="Q140">
        <f>IF(P139&gt;1000,1,0)</f>
        <v>1</v>
      </c>
    </row>
    <row r="141" spans="1:17" x14ac:dyDescent="0.25">
      <c r="A141">
        <v>140</v>
      </c>
      <c r="B141">
        <v>521072</v>
      </c>
      <c r="C141">
        <v>307</v>
      </c>
      <c r="D141">
        <v>1</v>
      </c>
      <c r="E141">
        <v>4</v>
      </c>
      <c r="F141">
        <v>3</v>
      </c>
      <c r="G141">
        <v>1</v>
      </c>
      <c r="H141">
        <v>466</v>
      </c>
      <c r="I141">
        <v>1</v>
      </c>
      <c r="J141">
        <v>1</v>
      </c>
      <c r="L141">
        <f t="shared" si="8"/>
        <v>307</v>
      </c>
      <c r="M141" s="2">
        <f t="shared" si="9"/>
        <v>521.072</v>
      </c>
      <c r="O141">
        <f t="shared" si="10"/>
        <v>307</v>
      </c>
      <c r="P141" s="1">
        <f t="shared" si="11"/>
        <v>1697.3029315960912</v>
      </c>
      <c r="Q141">
        <f>IF(P140&gt;1000,1,0)</f>
        <v>1</v>
      </c>
    </row>
    <row r="142" spans="1:17" x14ac:dyDescent="0.25">
      <c r="A142">
        <v>141</v>
      </c>
      <c r="B142">
        <v>579840</v>
      </c>
      <c r="C142">
        <v>307</v>
      </c>
      <c r="D142">
        <v>3</v>
      </c>
      <c r="E142">
        <v>8</v>
      </c>
      <c r="F142">
        <v>3</v>
      </c>
      <c r="G142">
        <v>1</v>
      </c>
      <c r="H142">
        <v>266</v>
      </c>
      <c r="I142">
        <v>1</v>
      </c>
      <c r="J142">
        <v>1</v>
      </c>
      <c r="L142">
        <f t="shared" si="8"/>
        <v>307</v>
      </c>
      <c r="M142" s="2">
        <f t="shared" si="9"/>
        <v>579.84</v>
      </c>
      <c r="O142">
        <f t="shared" si="10"/>
        <v>307</v>
      </c>
      <c r="P142" s="1">
        <f t="shared" si="11"/>
        <v>1888.7296416938111</v>
      </c>
      <c r="Q142">
        <f>IF(P141&gt;1000,1,0)</f>
        <v>1</v>
      </c>
    </row>
    <row r="143" spans="1:17" x14ac:dyDescent="0.25">
      <c r="A143">
        <v>142</v>
      </c>
      <c r="B143">
        <v>262078</v>
      </c>
      <c r="C143">
        <v>177</v>
      </c>
      <c r="D143">
        <v>1</v>
      </c>
      <c r="E143">
        <v>3</v>
      </c>
      <c r="F143">
        <v>2</v>
      </c>
      <c r="G143">
        <v>0</v>
      </c>
      <c r="H143">
        <v>440</v>
      </c>
      <c r="I143">
        <v>1</v>
      </c>
      <c r="J143">
        <v>0</v>
      </c>
      <c r="L143">
        <f t="shared" si="8"/>
        <v>177</v>
      </c>
      <c r="M143" s="2">
        <f t="shared" si="9"/>
        <v>262.07799999999997</v>
      </c>
      <c r="O143">
        <f t="shared" si="10"/>
        <v>177</v>
      </c>
      <c r="P143" s="1">
        <f t="shared" si="11"/>
        <v>1480.6666666666667</v>
      </c>
      <c r="Q143">
        <f>IF(P142&gt;1000,1,0)</f>
        <v>1</v>
      </c>
    </row>
    <row r="144" spans="1:17" x14ac:dyDescent="0.25">
      <c r="A144">
        <v>143</v>
      </c>
      <c r="B144">
        <v>418000</v>
      </c>
      <c r="C144">
        <v>245</v>
      </c>
      <c r="D144">
        <v>1</v>
      </c>
      <c r="E144">
        <v>4</v>
      </c>
      <c r="F144">
        <v>3</v>
      </c>
      <c r="G144">
        <v>0</v>
      </c>
      <c r="H144">
        <v>354</v>
      </c>
      <c r="I144">
        <v>1</v>
      </c>
      <c r="J144">
        <v>0</v>
      </c>
      <c r="L144">
        <f t="shared" si="8"/>
        <v>245</v>
      </c>
      <c r="M144" s="2">
        <f t="shared" si="9"/>
        <v>418</v>
      </c>
      <c r="O144">
        <f t="shared" si="10"/>
        <v>245</v>
      </c>
      <c r="P144" s="1">
        <f t="shared" si="11"/>
        <v>1706.1224489795918</v>
      </c>
      <c r="Q144">
        <f>IF(P143&gt;1000,1,0)</f>
        <v>1</v>
      </c>
    </row>
    <row r="145" spans="1:17" x14ac:dyDescent="0.25">
      <c r="A145">
        <v>144</v>
      </c>
      <c r="B145">
        <v>442992</v>
      </c>
      <c r="C145">
        <v>238</v>
      </c>
      <c r="D145">
        <v>1</v>
      </c>
      <c r="E145">
        <v>5</v>
      </c>
      <c r="F145">
        <v>6</v>
      </c>
      <c r="G145">
        <v>0</v>
      </c>
      <c r="H145">
        <v>510</v>
      </c>
      <c r="I145">
        <v>1</v>
      </c>
      <c r="J145">
        <v>1</v>
      </c>
      <c r="L145">
        <f t="shared" si="8"/>
        <v>238</v>
      </c>
      <c r="M145" s="2">
        <f t="shared" si="9"/>
        <v>442.99200000000002</v>
      </c>
      <c r="O145">
        <f t="shared" si="10"/>
        <v>238</v>
      </c>
      <c r="P145" s="1">
        <f t="shared" si="11"/>
        <v>1861.3109243697479</v>
      </c>
      <c r="Q145">
        <f>IF(P144&gt;1000,1,0)</f>
        <v>1</v>
      </c>
    </row>
    <row r="146" spans="1:17" x14ac:dyDescent="0.25">
      <c r="A146">
        <v>145</v>
      </c>
      <c r="B146">
        <v>455402</v>
      </c>
      <c r="C146">
        <v>238</v>
      </c>
      <c r="D146">
        <v>2</v>
      </c>
      <c r="E146">
        <v>6</v>
      </c>
      <c r="F146">
        <v>6</v>
      </c>
      <c r="G146">
        <v>1</v>
      </c>
      <c r="H146">
        <v>510</v>
      </c>
      <c r="I146">
        <v>1</v>
      </c>
      <c r="J146">
        <v>1</v>
      </c>
      <c r="L146">
        <f t="shared" si="8"/>
        <v>238</v>
      </c>
      <c r="M146" s="2">
        <f t="shared" si="9"/>
        <v>455.40199999999999</v>
      </c>
      <c r="O146">
        <f t="shared" si="10"/>
        <v>238</v>
      </c>
      <c r="P146" s="1">
        <f t="shared" si="11"/>
        <v>1913.453781512605</v>
      </c>
      <c r="Q146">
        <f>IF(P145&gt;1000,1,0)</f>
        <v>1</v>
      </c>
    </row>
    <row r="147" spans="1:17" x14ac:dyDescent="0.25">
      <c r="A147">
        <v>146</v>
      </c>
      <c r="B147">
        <v>152000</v>
      </c>
      <c r="C147">
        <v>126</v>
      </c>
      <c r="D147">
        <v>5</v>
      </c>
      <c r="E147">
        <v>4</v>
      </c>
      <c r="F147">
        <v>2</v>
      </c>
      <c r="G147">
        <v>0</v>
      </c>
      <c r="H147">
        <v>159</v>
      </c>
      <c r="I147">
        <v>0</v>
      </c>
      <c r="J147">
        <v>0</v>
      </c>
      <c r="L147">
        <f t="shared" si="8"/>
        <v>126</v>
      </c>
      <c r="M147" s="2">
        <f t="shared" si="9"/>
        <v>152</v>
      </c>
      <c r="O147">
        <f t="shared" si="10"/>
        <v>126</v>
      </c>
      <c r="P147" s="1">
        <f t="shared" si="11"/>
        <v>1206.3492063492063</v>
      </c>
      <c r="Q147">
        <f>IF(P146&gt;1000,1,0)</f>
        <v>1</v>
      </c>
    </row>
    <row r="148" spans="1:17" x14ac:dyDescent="0.25">
      <c r="A148">
        <v>147</v>
      </c>
      <c r="B148">
        <v>320000</v>
      </c>
      <c r="C148">
        <v>217</v>
      </c>
      <c r="D148">
        <v>2</v>
      </c>
      <c r="E148">
        <v>8</v>
      </c>
      <c r="F148">
        <v>2</v>
      </c>
      <c r="G148">
        <v>0</v>
      </c>
      <c r="H148">
        <v>97</v>
      </c>
      <c r="I148">
        <v>0</v>
      </c>
      <c r="J148">
        <v>1</v>
      </c>
      <c r="L148">
        <f t="shared" si="8"/>
        <v>217</v>
      </c>
      <c r="M148" s="2">
        <f t="shared" si="9"/>
        <v>320</v>
      </c>
      <c r="O148">
        <f t="shared" si="10"/>
        <v>217</v>
      </c>
      <c r="P148" s="1">
        <f t="shared" si="11"/>
        <v>1474.6543778801843</v>
      </c>
      <c r="Q148">
        <f>IF(P147&gt;1000,1,0)</f>
        <v>1</v>
      </c>
    </row>
    <row r="149" spans="1:17" x14ac:dyDescent="0.25">
      <c r="A149">
        <v>148</v>
      </c>
      <c r="B149">
        <v>192000</v>
      </c>
      <c r="C149">
        <v>123</v>
      </c>
      <c r="D149">
        <v>4</v>
      </c>
      <c r="E149">
        <v>9</v>
      </c>
      <c r="F149">
        <v>2</v>
      </c>
      <c r="G149">
        <v>0</v>
      </c>
      <c r="H149">
        <v>496</v>
      </c>
      <c r="I149">
        <v>0</v>
      </c>
      <c r="J149">
        <v>0</v>
      </c>
      <c r="L149">
        <f t="shared" si="8"/>
        <v>123</v>
      </c>
      <c r="M149" s="2">
        <f t="shared" si="9"/>
        <v>192</v>
      </c>
      <c r="O149">
        <f t="shared" si="10"/>
        <v>123</v>
      </c>
      <c r="P149" s="1">
        <f t="shared" si="11"/>
        <v>1560.9756097560976</v>
      </c>
      <c r="Q149">
        <f>IF(P148&gt;1000,1,0)</f>
        <v>1</v>
      </c>
    </row>
    <row r="150" spans="1:17" x14ac:dyDescent="0.25">
      <c r="A150">
        <v>149</v>
      </c>
      <c r="B150">
        <v>208000</v>
      </c>
      <c r="C150">
        <v>122</v>
      </c>
      <c r="D150">
        <v>4</v>
      </c>
      <c r="E150">
        <v>6</v>
      </c>
      <c r="F150">
        <v>2</v>
      </c>
      <c r="G150">
        <v>0</v>
      </c>
      <c r="H150">
        <v>556</v>
      </c>
      <c r="I150">
        <v>1</v>
      </c>
      <c r="J150">
        <v>0</v>
      </c>
      <c r="L150">
        <f t="shared" si="8"/>
        <v>122</v>
      </c>
      <c r="M150" s="2">
        <f t="shared" si="9"/>
        <v>208</v>
      </c>
      <c r="O150">
        <f t="shared" si="10"/>
        <v>122</v>
      </c>
      <c r="P150" s="1">
        <f t="shared" si="11"/>
        <v>1704.9180327868853</v>
      </c>
      <c r="Q150">
        <f>IF(P149&gt;1000,1,0)</f>
        <v>1</v>
      </c>
    </row>
    <row r="151" spans="1:17" x14ac:dyDescent="0.25">
      <c r="A151">
        <v>150</v>
      </c>
      <c r="B151">
        <v>232000</v>
      </c>
      <c r="C151">
        <v>127</v>
      </c>
      <c r="D151">
        <v>1</v>
      </c>
      <c r="E151">
        <v>8</v>
      </c>
      <c r="F151">
        <v>2</v>
      </c>
      <c r="G151">
        <v>0</v>
      </c>
      <c r="H151">
        <v>999</v>
      </c>
      <c r="I151">
        <v>1</v>
      </c>
      <c r="J151">
        <v>1</v>
      </c>
      <c r="L151">
        <f t="shared" si="8"/>
        <v>127</v>
      </c>
      <c r="M151" s="2">
        <f t="shared" si="9"/>
        <v>232</v>
      </c>
      <c r="O151">
        <f t="shared" si="10"/>
        <v>127</v>
      </c>
      <c r="P151" s="1">
        <f t="shared" si="11"/>
        <v>1826.7716535433071</v>
      </c>
      <c r="Q151">
        <f>IF(P150&gt;1000,1,0)</f>
        <v>1</v>
      </c>
    </row>
    <row r="152" spans="1:17" x14ac:dyDescent="0.25">
      <c r="A152">
        <v>151</v>
      </c>
      <c r="B152">
        <v>136000</v>
      </c>
      <c r="C152">
        <v>141</v>
      </c>
      <c r="D152">
        <v>1</v>
      </c>
      <c r="E152">
        <v>2</v>
      </c>
      <c r="F152">
        <v>2</v>
      </c>
      <c r="G152">
        <v>0</v>
      </c>
      <c r="H152">
        <v>305</v>
      </c>
      <c r="I152">
        <v>0</v>
      </c>
      <c r="J152">
        <v>0</v>
      </c>
      <c r="L152">
        <f t="shared" si="8"/>
        <v>141</v>
      </c>
      <c r="M152" s="2">
        <f t="shared" si="9"/>
        <v>136</v>
      </c>
      <c r="O152">
        <f t="shared" si="10"/>
        <v>141</v>
      </c>
      <c r="P152" s="1">
        <f t="shared" si="11"/>
        <v>964.53900709219863</v>
      </c>
      <c r="Q152">
        <f>IF(P151&gt;1000,1,0)</f>
        <v>1</v>
      </c>
    </row>
    <row r="153" spans="1:17" x14ac:dyDescent="0.25">
      <c r="A153">
        <v>152</v>
      </c>
      <c r="B153">
        <v>166400</v>
      </c>
      <c r="C153">
        <v>101</v>
      </c>
      <c r="D153">
        <v>1</v>
      </c>
      <c r="E153">
        <v>6</v>
      </c>
      <c r="F153">
        <v>2</v>
      </c>
      <c r="G153">
        <v>0</v>
      </c>
      <c r="H153">
        <v>1168</v>
      </c>
      <c r="I153">
        <v>0</v>
      </c>
      <c r="J153">
        <v>0</v>
      </c>
      <c r="L153">
        <f t="shared" si="8"/>
        <v>101</v>
      </c>
      <c r="M153" s="2">
        <f t="shared" si="9"/>
        <v>166.4</v>
      </c>
      <c r="O153">
        <f t="shared" si="10"/>
        <v>101</v>
      </c>
      <c r="P153" s="1">
        <f t="shared" si="11"/>
        <v>1647.5247524752476</v>
      </c>
      <c r="Q153">
        <f>IF(P152&gt;1000,1,0)</f>
        <v>0</v>
      </c>
    </row>
    <row r="154" spans="1:17" x14ac:dyDescent="0.25">
      <c r="A154">
        <v>153</v>
      </c>
      <c r="B154">
        <v>136000</v>
      </c>
      <c r="C154">
        <v>102</v>
      </c>
      <c r="D154">
        <v>1</v>
      </c>
      <c r="E154">
        <v>6</v>
      </c>
      <c r="F154">
        <v>0</v>
      </c>
      <c r="G154">
        <v>0</v>
      </c>
      <c r="H154">
        <v>862</v>
      </c>
      <c r="I154">
        <v>0</v>
      </c>
      <c r="J154">
        <v>0</v>
      </c>
      <c r="L154">
        <f t="shared" si="8"/>
        <v>102</v>
      </c>
      <c r="M154" s="2">
        <f t="shared" si="9"/>
        <v>136</v>
      </c>
      <c r="O154">
        <f t="shared" si="10"/>
        <v>102</v>
      </c>
      <c r="P154" s="1">
        <f t="shared" si="11"/>
        <v>1333.3333333333333</v>
      </c>
      <c r="Q154">
        <f>IF(P153&gt;1000,1,0)</f>
        <v>1</v>
      </c>
    </row>
    <row r="155" spans="1:17" x14ac:dyDescent="0.25">
      <c r="A155">
        <v>154</v>
      </c>
      <c r="B155">
        <v>240000</v>
      </c>
      <c r="C155">
        <v>137</v>
      </c>
      <c r="D155">
        <v>1</v>
      </c>
      <c r="E155">
        <v>11</v>
      </c>
      <c r="F155">
        <v>2</v>
      </c>
      <c r="G155">
        <v>1</v>
      </c>
      <c r="H155">
        <v>1014</v>
      </c>
      <c r="I155">
        <v>1</v>
      </c>
      <c r="J155">
        <v>1</v>
      </c>
      <c r="L155">
        <f t="shared" si="8"/>
        <v>137</v>
      </c>
      <c r="M155" s="2">
        <f t="shared" si="9"/>
        <v>240</v>
      </c>
      <c r="O155">
        <f t="shared" si="10"/>
        <v>137</v>
      </c>
      <c r="P155" s="1">
        <f t="shared" si="11"/>
        <v>1751.8248175182482</v>
      </c>
      <c r="Q155">
        <f>IF(P154&gt;1000,1,0)</f>
        <v>1</v>
      </c>
    </row>
    <row r="156" spans="1:17" x14ac:dyDescent="0.25">
      <c r="A156">
        <v>155</v>
      </c>
      <c r="B156">
        <v>176000</v>
      </c>
      <c r="C156">
        <v>125</v>
      </c>
      <c r="D156">
        <v>1</v>
      </c>
      <c r="E156">
        <v>5</v>
      </c>
      <c r="F156">
        <v>2</v>
      </c>
      <c r="G156">
        <v>0</v>
      </c>
      <c r="H156">
        <v>597</v>
      </c>
      <c r="I156">
        <v>1</v>
      </c>
      <c r="J156">
        <v>0</v>
      </c>
      <c r="L156">
        <f t="shared" si="8"/>
        <v>125</v>
      </c>
      <c r="M156" s="2">
        <f t="shared" si="9"/>
        <v>176</v>
      </c>
      <c r="O156">
        <f t="shared" si="10"/>
        <v>125</v>
      </c>
      <c r="P156" s="1">
        <f t="shared" si="11"/>
        <v>1408</v>
      </c>
      <c r="Q156">
        <f>IF(P155&gt;1000,1,0)</f>
        <v>1</v>
      </c>
    </row>
    <row r="157" spans="1:17" x14ac:dyDescent="0.25">
      <c r="A157">
        <v>156</v>
      </c>
      <c r="B157">
        <v>192000</v>
      </c>
      <c r="C157">
        <v>125</v>
      </c>
      <c r="D157">
        <v>1</v>
      </c>
      <c r="E157">
        <v>6</v>
      </c>
      <c r="F157">
        <v>2</v>
      </c>
      <c r="G157">
        <v>1</v>
      </c>
      <c r="H157">
        <v>597</v>
      </c>
      <c r="I157">
        <v>1</v>
      </c>
      <c r="J157">
        <v>0</v>
      </c>
      <c r="L157">
        <f t="shared" si="8"/>
        <v>125</v>
      </c>
      <c r="M157" s="2">
        <f t="shared" si="9"/>
        <v>192</v>
      </c>
      <c r="O157">
        <f t="shared" si="10"/>
        <v>125</v>
      </c>
      <c r="P157" s="1">
        <f t="shared" si="11"/>
        <v>1536</v>
      </c>
      <c r="Q157">
        <f>IF(P156&gt;1000,1,0)</f>
        <v>1</v>
      </c>
    </row>
    <row r="158" spans="1:17" x14ac:dyDescent="0.25">
      <c r="A158">
        <v>157</v>
      </c>
      <c r="B158">
        <v>140800</v>
      </c>
      <c r="C158">
        <v>106</v>
      </c>
      <c r="D158">
        <v>5</v>
      </c>
      <c r="E158">
        <v>3</v>
      </c>
      <c r="F158">
        <v>0</v>
      </c>
      <c r="G158">
        <v>0</v>
      </c>
      <c r="H158">
        <v>322</v>
      </c>
      <c r="I158">
        <v>1</v>
      </c>
      <c r="J158">
        <v>0</v>
      </c>
      <c r="L158">
        <f t="shared" si="8"/>
        <v>106</v>
      </c>
      <c r="M158" s="2">
        <f t="shared" si="9"/>
        <v>140.80000000000001</v>
      </c>
      <c r="O158">
        <f t="shared" si="10"/>
        <v>106</v>
      </c>
      <c r="P158" s="1">
        <f t="shared" si="11"/>
        <v>1328.3018867924529</v>
      </c>
      <c r="Q158">
        <f>IF(P157&gt;1000,1,0)</f>
        <v>1</v>
      </c>
    </row>
    <row r="159" spans="1:17" x14ac:dyDescent="0.25">
      <c r="A159">
        <v>158</v>
      </c>
      <c r="B159">
        <v>184000</v>
      </c>
      <c r="C159">
        <v>110</v>
      </c>
      <c r="D159">
        <v>4</v>
      </c>
      <c r="E159">
        <v>3</v>
      </c>
      <c r="F159">
        <v>2</v>
      </c>
      <c r="G159">
        <v>0</v>
      </c>
      <c r="H159">
        <v>193</v>
      </c>
      <c r="I159">
        <v>1</v>
      </c>
      <c r="J159">
        <v>0</v>
      </c>
      <c r="L159">
        <f t="shared" si="8"/>
        <v>110</v>
      </c>
      <c r="M159" s="2">
        <f t="shared" si="9"/>
        <v>184</v>
      </c>
      <c r="O159">
        <f t="shared" si="10"/>
        <v>110</v>
      </c>
      <c r="P159" s="1">
        <f t="shared" si="11"/>
        <v>1672.7272727272727</v>
      </c>
      <c r="Q159">
        <f>IF(P158&gt;1000,1,0)</f>
        <v>1</v>
      </c>
    </row>
    <row r="160" spans="1:17" x14ac:dyDescent="0.25">
      <c r="A160">
        <v>159</v>
      </c>
      <c r="B160">
        <v>168000</v>
      </c>
      <c r="C160">
        <v>117</v>
      </c>
      <c r="D160">
        <v>2</v>
      </c>
      <c r="E160">
        <v>3</v>
      </c>
      <c r="F160">
        <v>2</v>
      </c>
      <c r="G160">
        <v>0</v>
      </c>
      <c r="H160">
        <v>128</v>
      </c>
      <c r="I160">
        <v>0</v>
      </c>
      <c r="J160">
        <v>0</v>
      </c>
      <c r="L160">
        <f t="shared" si="8"/>
        <v>117</v>
      </c>
      <c r="M160" s="2">
        <f t="shared" si="9"/>
        <v>168</v>
      </c>
      <c r="O160">
        <f t="shared" si="10"/>
        <v>117</v>
      </c>
      <c r="P160" s="1">
        <f t="shared" si="11"/>
        <v>1435.8974358974358</v>
      </c>
      <c r="Q160">
        <f>IF(P159&gt;1000,1,0)</f>
        <v>1</v>
      </c>
    </row>
    <row r="161" spans="1:17" x14ac:dyDescent="0.25">
      <c r="A161">
        <v>160</v>
      </c>
      <c r="B161">
        <v>312000</v>
      </c>
      <c r="C161">
        <v>164</v>
      </c>
      <c r="D161">
        <v>1</v>
      </c>
      <c r="E161">
        <v>6</v>
      </c>
      <c r="F161">
        <v>3</v>
      </c>
      <c r="G161">
        <v>0</v>
      </c>
      <c r="H161">
        <v>531</v>
      </c>
      <c r="I161">
        <v>1</v>
      </c>
      <c r="J161">
        <v>1</v>
      </c>
      <c r="L161">
        <f t="shared" si="8"/>
        <v>164</v>
      </c>
      <c r="M161" s="2">
        <f t="shared" si="9"/>
        <v>312</v>
      </c>
      <c r="O161">
        <f t="shared" si="10"/>
        <v>164</v>
      </c>
      <c r="P161" s="1">
        <f t="shared" si="11"/>
        <v>1902.439024390244</v>
      </c>
      <c r="Q161">
        <f>IF(P160&gt;1000,1,0)</f>
        <v>1</v>
      </c>
    </row>
    <row r="162" spans="1:17" x14ac:dyDescent="0.25">
      <c r="A162">
        <v>161</v>
      </c>
      <c r="B162">
        <v>288000</v>
      </c>
      <c r="C162">
        <v>150</v>
      </c>
      <c r="D162">
        <v>1</v>
      </c>
      <c r="E162">
        <v>6</v>
      </c>
      <c r="F162">
        <v>5</v>
      </c>
      <c r="G162">
        <v>0</v>
      </c>
      <c r="H162">
        <v>531</v>
      </c>
      <c r="I162">
        <v>1</v>
      </c>
      <c r="J162">
        <v>1</v>
      </c>
      <c r="L162">
        <f t="shared" si="8"/>
        <v>150</v>
      </c>
      <c r="M162" s="2">
        <f t="shared" si="9"/>
        <v>288</v>
      </c>
      <c r="O162">
        <f t="shared" si="10"/>
        <v>150</v>
      </c>
      <c r="P162" s="1">
        <f t="shared" si="11"/>
        <v>1920</v>
      </c>
      <c r="Q162">
        <f>IF(P161&gt;1000,1,0)</f>
        <v>1</v>
      </c>
    </row>
    <row r="163" spans="1:17" x14ac:dyDescent="0.25">
      <c r="A163">
        <v>162</v>
      </c>
      <c r="B163">
        <v>216000</v>
      </c>
      <c r="C163">
        <v>156</v>
      </c>
      <c r="D163">
        <v>13</v>
      </c>
      <c r="E163">
        <v>4</v>
      </c>
      <c r="F163">
        <v>2</v>
      </c>
      <c r="G163">
        <v>0</v>
      </c>
      <c r="H163">
        <v>280</v>
      </c>
      <c r="I163">
        <v>0</v>
      </c>
      <c r="J163">
        <v>0</v>
      </c>
      <c r="L163">
        <f t="shared" si="8"/>
        <v>156</v>
      </c>
      <c r="M163" s="2">
        <f t="shared" si="9"/>
        <v>216</v>
      </c>
      <c r="O163">
        <f t="shared" si="10"/>
        <v>156</v>
      </c>
      <c r="P163" s="1">
        <f t="shared" si="11"/>
        <v>1384.6153846153845</v>
      </c>
      <c r="Q163">
        <f>IF(P162&gt;1000,1,0)</f>
        <v>1</v>
      </c>
    </row>
    <row r="164" spans="1:17" x14ac:dyDescent="0.25">
      <c r="A164">
        <v>163</v>
      </c>
      <c r="B164">
        <v>296000</v>
      </c>
      <c r="C164">
        <v>196</v>
      </c>
      <c r="D164">
        <v>15</v>
      </c>
      <c r="E164">
        <v>6</v>
      </c>
      <c r="F164">
        <v>2</v>
      </c>
      <c r="G164">
        <v>1</v>
      </c>
      <c r="H164">
        <v>1713</v>
      </c>
      <c r="I164">
        <v>1</v>
      </c>
      <c r="J164">
        <v>0</v>
      </c>
      <c r="L164">
        <f t="shared" si="8"/>
        <v>196</v>
      </c>
      <c r="M164" s="2">
        <f t="shared" si="9"/>
        <v>296</v>
      </c>
      <c r="O164">
        <f t="shared" si="10"/>
        <v>196</v>
      </c>
      <c r="P164" s="1">
        <f t="shared" si="11"/>
        <v>1510.204081632653</v>
      </c>
      <c r="Q164">
        <f>IF(P163&gt;1000,1,0)</f>
        <v>1</v>
      </c>
    </row>
    <row r="165" spans="1:17" x14ac:dyDescent="0.25">
      <c r="A165">
        <v>164</v>
      </c>
      <c r="B165">
        <v>304000</v>
      </c>
      <c r="C165">
        <v>203</v>
      </c>
      <c r="D165">
        <v>5</v>
      </c>
      <c r="E165">
        <v>4</v>
      </c>
      <c r="F165">
        <v>2</v>
      </c>
      <c r="G165">
        <v>0</v>
      </c>
      <c r="H165">
        <v>644</v>
      </c>
      <c r="I165">
        <v>1</v>
      </c>
      <c r="J165">
        <v>0</v>
      </c>
      <c r="L165">
        <f t="shared" si="8"/>
        <v>203</v>
      </c>
      <c r="M165" s="2">
        <f t="shared" si="9"/>
        <v>304</v>
      </c>
      <c r="O165">
        <f t="shared" si="10"/>
        <v>203</v>
      </c>
      <c r="P165" s="1">
        <f t="shared" si="11"/>
        <v>1497.536945812808</v>
      </c>
      <c r="Q165">
        <f>IF(P164&gt;1000,1,0)</f>
        <v>1</v>
      </c>
    </row>
    <row r="166" spans="1:17" x14ac:dyDescent="0.25">
      <c r="A166">
        <v>165</v>
      </c>
      <c r="B166">
        <v>152000</v>
      </c>
      <c r="C166">
        <v>150</v>
      </c>
      <c r="D166">
        <v>11</v>
      </c>
      <c r="E166">
        <v>2</v>
      </c>
      <c r="F166">
        <v>2</v>
      </c>
      <c r="G166">
        <v>0</v>
      </c>
      <c r="H166">
        <v>103</v>
      </c>
      <c r="I166">
        <v>0</v>
      </c>
      <c r="J166">
        <v>0</v>
      </c>
      <c r="L166">
        <f t="shared" si="8"/>
        <v>150</v>
      </c>
      <c r="M166" s="2">
        <f t="shared" si="9"/>
        <v>152</v>
      </c>
      <c r="O166">
        <f t="shared" si="10"/>
        <v>150</v>
      </c>
      <c r="P166" s="1">
        <f t="shared" si="11"/>
        <v>1013.3333333333334</v>
      </c>
      <c r="Q166">
        <f>IF(P165&gt;1000,1,0)</f>
        <v>1</v>
      </c>
    </row>
    <row r="167" spans="1:17" x14ac:dyDescent="0.25">
      <c r="A167">
        <v>166</v>
      </c>
      <c r="B167">
        <v>128000</v>
      </c>
      <c r="C167">
        <v>90</v>
      </c>
      <c r="D167">
        <v>14</v>
      </c>
      <c r="E167">
        <v>3</v>
      </c>
      <c r="F167">
        <v>0</v>
      </c>
      <c r="G167">
        <v>0</v>
      </c>
      <c r="H167">
        <v>410</v>
      </c>
      <c r="I167">
        <v>1</v>
      </c>
      <c r="J167">
        <v>1</v>
      </c>
      <c r="L167">
        <f t="shared" si="8"/>
        <v>90</v>
      </c>
      <c r="M167" s="2">
        <f t="shared" si="9"/>
        <v>128</v>
      </c>
      <c r="O167">
        <f t="shared" si="10"/>
        <v>90</v>
      </c>
      <c r="P167" s="1">
        <f t="shared" si="11"/>
        <v>1422.2222222222222</v>
      </c>
      <c r="Q167">
        <f>IF(P166&gt;1000,1,0)</f>
        <v>1</v>
      </c>
    </row>
    <row r="168" spans="1:17" x14ac:dyDescent="0.25">
      <c r="A168">
        <v>167</v>
      </c>
      <c r="B168">
        <v>384000</v>
      </c>
      <c r="C168">
        <v>289</v>
      </c>
      <c r="D168">
        <v>9</v>
      </c>
      <c r="E168">
        <v>3</v>
      </c>
      <c r="F168">
        <v>5</v>
      </c>
      <c r="G168">
        <v>0</v>
      </c>
      <c r="H168">
        <v>172</v>
      </c>
      <c r="I168">
        <v>0</v>
      </c>
      <c r="J168">
        <v>0</v>
      </c>
      <c r="L168">
        <f t="shared" si="8"/>
        <v>289</v>
      </c>
      <c r="M168" s="2">
        <f t="shared" si="9"/>
        <v>384</v>
      </c>
      <c r="O168">
        <f t="shared" si="10"/>
        <v>289</v>
      </c>
      <c r="P168" s="1">
        <f t="shared" si="11"/>
        <v>1328.7197231833909</v>
      </c>
      <c r="Q168">
        <f>IF(P167&gt;1000,1,0)</f>
        <v>1</v>
      </c>
    </row>
    <row r="169" spans="1:17" x14ac:dyDescent="0.25">
      <c r="A169">
        <v>168</v>
      </c>
      <c r="B169">
        <v>80000</v>
      </c>
      <c r="C169">
        <v>82</v>
      </c>
      <c r="D169">
        <v>14</v>
      </c>
      <c r="E169">
        <v>2</v>
      </c>
      <c r="F169">
        <v>0</v>
      </c>
      <c r="G169">
        <v>0</v>
      </c>
      <c r="H169">
        <v>485</v>
      </c>
      <c r="I169">
        <v>1</v>
      </c>
      <c r="J169">
        <v>0</v>
      </c>
      <c r="L169">
        <f t="shared" si="8"/>
        <v>82</v>
      </c>
      <c r="M169" s="2">
        <f t="shared" si="9"/>
        <v>80</v>
      </c>
      <c r="O169">
        <f t="shared" si="10"/>
        <v>82</v>
      </c>
      <c r="P169" s="1">
        <f t="shared" si="11"/>
        <v>975.60975609756099</v>
      </c>
      <c r="Q169">
        <f>IF(P168&gt;1000,1,0)</f>
        <v>1</v>
      </c>
    </row>
    <row r="170" spans="1:17" x14ac:dyDescent="0.25">
      <c r="A170">
        <v>169</v>
      </c>
      <c r="B170">
        <v>144000</v>
      </c>
      <c r="C170">
        <v>134</v>
      </c>
      <c r="D170">
        <v>11</v>
      </c>
      <c r="E170">
        <v>2</v>
      </c>
      <c r="F170">
        <v>0</v>
      </c>
      <c r="G170">
        <v>1</v>
      </c>
      <c r="H170">
        <v>827</v>
      </c>
      <c r="I170">
        <v>1</v>
      </c>
      <c r="J170">
        <v>1</v>
      </c>
      <c r="L170">
        <f t="shared" si="8"/>
        <v>134</v>
      </c>
      <c r="M170" s="2">
        <f t="shared" si="9"/>
        <v>144</v>
      </c>
      <c r="O170">
        <f t="shared" si="10"/>
        <v>134</v>
      </c>
      <c r="P170" s="1">
        <f t="shared" si="11"/>
        <v>1074.6268656716418</v>
      </c>
      <c r="Q170">
        <f>IF(P169&gt;1000,1,0)</f>
        <v>0</v>
      </c>
    </row>
    <row r="171" spans="1:17" x14ac:dyDescent="0.25">
      <c r="A171">
        <v>170</v>
      </c>
      <c r="B171">
        <v>176000</v>
      </c>
      <c r="C171">
        <v>135</v>
      </c>
      <c r="D171">
        <v>9</v>
      </c>
      <c r="E171">
        <v>3</v>
      </c>
      <c r="F171">
        <v>2</v>
      </c>
      <c r="G171">
        <v>1</v>
      </c>
      <c r="H171">
        <v>414</v>
      </c>
      <c r="I171">
        <v>1</v>
      </c>
      <c r="J171">
        <v>1</v>
      </c>
      <c r="L171">
        <f t="shared" si="8"/>
        <v>135</v>
      </c>
      <c r="M171" s="2">
        <f t="shared" si="9"/>
        <v>176</v>
      </c>
      <c r="O171">
        <f t="shared" si="10"/>
        <v>135</v>
      </c>
      <c r="P171" s="1">
        <f t="shared" si="11"/>
        <v>1303.7037037037037</v>
      </c>
      <c r="Q171">
        <f>IF(P170&gt;1000,1,0)</f>
        <v>1</v>
      </c>
    </row>
    <row r="172" spans="1:17" x14ac:dyDescent="0.25">
      <c r="A172">
        <v>171</v>
      </c>
      <c r="B172">
        <v>199956</v>
      </c>
      <c r="C172">
        <v>141</v>
      </c>
      <c r="D172">
        <v>1</v>
      </c>
      <c r="E172">
        <v>6</v>
      </c>
      <c r="F172">
        <v>2</v>
      </c>
      <c r="G172">
        <v>0</v>
      </c>
      <c r="H172">
        <v>305</v>
      </c>
      <c r="I172">
        <v>0</v>
      </c>
      <c r="J172">
        <v>0</v>
      </c>
      <c r="L172">
        <f t="shared" si="8"/>
        <v>141</v>
      </c>
      <c r="M172" s="2">
        <f t="shared" si="9"/>
        <v>199.95599999999999</v>
      </c>
      <c r="O172">
        <f t="shared" si="10"/>
        <v>141</v>
      </c>
      <c r="P172" s="1">
        <f t="shared" si="11"/>
        <v>1418.127659574468</v>
      </c>
      <c r="Q172">
        <f>IF(P171&gt;1000,1,0)</f>
        <v>1</v>
      </c>
    </row>
    <row r="173" spans="1:17" x14ac:dyDescent="0.25">
      <c r="A173">
        <v>172</v>
      </c>
      <c r="B173">
        <v>144000</v>
      </c>
      <c r="C173">
        <v>125</v>
      </c>
      <c r="D173">
        <v>11</v>
      </c>
      <c r="E173">
        <v>9</v>
      </c>
      <c r="F173">
        <v>2</v>
      </c>
      <c r="G173">
        <v>0</v>
      </c>
      <c r="H173">
        <v>159</v>
      </c>
      <c r="I173">
        <v>0</v>
      </c>
      <c r="J173">
        <v>0</v>
      </c>
      <c r="L173">
        <f t="shared" si="8"/>
        <v>125</v>
      </c>
      <c r="M173" s="2">
        <f t="shared" si="9"/>
        <v>144</v>
      </c>
      <c r="O173">
        <f t="shared" si="10"/>
        <v>125</v>
      </c>
      <c r="P173" s="1">
        <f t="shared" si="11"/>
        <v>1152</v>
      </c>
      <c r="Q173">
        <f>IF(P172&gt;1000,1,0)</f>
        <v>1</v>
      </c>
    </row>
    <row r="175" spans="1:17" x14ac:dyDescent="0.25">
      <c r="P175" s="3">
        <f>MAX(P2:P173)</f>
        <v>1954.1984732824428</v>
      </c>
      <c r="Q175">
        <f>SUM(Q3:Q173)</f>
        <v>82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E6CBEFB987D4A8EC29C9A9811524B" ma:contentTypeVersion="11" ma:contentTypeDescription="Crie um novo documento." ma:contentTypeScope="" ma:versionID="79e242152d15297acba095d1089c8ff5">
  <xsd:schema xmlns:xsd="http://www.w3.org/2001/XMLSchema" xmlns:xs="http://www.w3.org/2001/XMLSchema" xmlns:p="http://schemas.microsoft.com/office/2006/metadata/properties" xmlns:ns2="a9c33af0-d0e1-48d9-8a7b-98b31cd56beb" xmlns:ns3="a28b14c2-406a-4e78-a565-36e8748de711" targetNamespace="http://schemas.microsoft.com/office/2006/metadata/properties" ma:root="true" ma:fieldsID="9f4d49087503231aaa761c161d1101f7" ns2:_="" ns3:_="">
    <xsd:import namespace="a9c33af0-d0e1-48d9-8a7b-98b31cd56beb"/>
    <xsd:import namespace="a28b14c2-406a-4e78-a565-36e8748d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33af0-d0e1-48d9-8a7b-98b31cd56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b14c2-406a-4e78-a565-36e8748de7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2d9a3c0-694b-4d31-8dee-66dddbf8c337}" ma:internalName="TaxCatchAll" ma:showField="CatchAllData" ma:web="a28b14c2-406a-4e78-a565-36e8748d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c33af0-d0e1-48d9-8a7b-98b31cd56beb">
      <Terms xmlns="http://schemas.microsoft.com/office/infopath/2007/PartnerControls"/>
    </lcf76f155ced4ddcb4097134ff3c332f>
    <TaxCatchAll xmlns="a28b14c2-406a-4e78-a565-36e8748de711" xsi:nil="true"/>
  </documentManagement>
</p:properties>
</file>

<file path=customXml/itemProps1.xml><?xml version="1.0" encoding="utf-8"?>
<ds:datastoreItem xmlns:ds="http://schemas.openxmlformats.org/officeDocument/2006/customXml" ds:itemID="{E03A09D2-B3D2-4E9D-BF2E-B1F16767E202}"/>
</file>

<file path=customXml/itemProps2.xml><?xml version="1.0" encoding="utf-8"?>
<ds:datastoreItem xmlns:ds="http://schemas.openxmlformats.org/officeDocument/2006/customXml" ds:itemID="{CA5FAEB8-4E13-4E0D-952B-6412BE49798E}"/>
</file>

<file path=customXml/itemProps3.xml><?xml version="1.0" encoding="utf-8"?>
<ds:datastoreItem xmlns:ds="http://schemas.openxmlformats.org/officeDocument/2006/customXml" ds:itemID="{E80840FC-3B4F-4F82-AA48-97707BBF7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Arquivo_Valorizacao_Ambiental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Adelaide Alves de Oliveira</cp:lastModifiedBy>
  <dcterms:created xsi:type="dcterms:W3CDTF">2025-08-21T16:56:37Z</dcterms:created>
  <dcterms:modified xsi:type="dcterms:W3CDTF">2025-08-21T17:40:06Z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0x0101001AEE6CBEFB987D4A8EC29C9A9811524B</vt:lpwstr>
  </property>
</Properties>
</file>